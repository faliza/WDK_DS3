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.alizadehziri\Desktop\"/>
    </mc:Choice>
  </mc:AlternateContent>
  <xr:revisionPtr revIDLastSave="0" documentId="13_ncr:1_{B0F6D00A-03A2-49D9-B2B1-EF340D9583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" l="1"/>
  <c r="F35" i="1"/>
  <c r="F34" i="1"/>
  <c r="F33" i="1"/>
  <c r="J36" i="1"/>
  <c r="K36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12" i="1"/>
  <c r="K12" i="1" s="1"/>
  <c r="J11" i="1"/>
  <c r="K11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2" i="1"/>
  <c r="K2" i="1" s="1"/>
  <c r="F2" i="1"/>
  <c r="F38" i="1"/>
  <c r="F39" i="1"/>
  <c r="F40" i="1"/>
  <c r="F41" i="1"/>
  <c r="F42" i="1"/>
  <c r="F81" i="1"/>
  <c r="F43" i="1"/>
  <c r="F44" i="1"/>
  <c r="F45" i="1"/>
  <c r="F46" i="1"/>
  <c r="F47" i="1"/>
  <c r="F48" i="1"/>
  <c r="F49" i="1"/>
  <c r="F50" i="1"/>
  <c r="F51" i="1"/>
  <c r="F52" i="1"/>
  <c r="F3" i="1"/>
  <c r="F4" i="1"/>
  <c r="F5" i="1"/>
  <c r="F6" i="1"/>
  <c r="F7" i="1"/>
  <c r="F8" i="1"/>
  <c r="F9" i="1"/>
  <c r="F53" i="1"/>
  <c r="F54" i="1"/>
  <c r="F55" i="1"/>
  <c r="F56" i="1"/>
  <c r="F57" i="1"/>
  <c r="F58" i="1"/>
  <c r="F99" i="1"/>
  <c r="F59" i="1"/>
  <c r="F10" i="1"/>
  <c r="F11" i="1"/>
  <c r="F60" i="1"/>
  <c r="F82" i="1"/>
  <c r="F61" i="1"/>
  <c r="F12" i="1"/>
  <c r="F83" i="1"/>
  <c r="F62" i="1"/>
  <c r="F63" i="1"/>
  <c r="F64" i="1"/>
  <c r="F65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6" i="1"/>
  <c r="F84" i="1"/>
  <c r="F85" i="1"/>
  <c r="F86" i="1"/>
  <c r="F87" i="1"/>
  <c r="F88" i="1"/>
  <c r="F89" i="1"/>
  <c r="F90" i="1"/>
  <c r="F66" i="1"/>
  <c r="F67" i="1"/>
  <c r="F68" i="1"/>
  <c r="F69" i="1"/>
  <c r="F70" i="1"/>
  <c r="F71" i="1"/>
  <c r="F72" i="1"/>
  <c r="F73" i="1"/>
  <c r="F74" i="1"/>
  <c r="F75" i="1"/>
  <c r="F76" i="1"/>
  <c r="F78" i="1"/>
  <c r="F79" i="1"/>
  <c r="F80" i="1"/>
  <c r="F91" i="1"/>
  <c r="F92" i="1"/>
  <c r="F93" i="1"/>
  <c r="F94" i="1"/>
  <c r="F95" i="1"/>
  <c r="F96" i="1"/>
  <c r="F97" i="1"/>
  <c r="F98" i="1"/>
  <c r="F37" i="1"/>
</calcChain>
</file>

<file path=xl/sharedStrings.xml><?xml version="1.0" encoding="utf-8"?>
<sst xmlns="http://schemas.openxmlformats.org/spreadsheetml/2006/main" count="274" uniqueCount="193">
  <si>
    <t>type (p=0,s=1,com=2)</t>
  </si>
  <si>
    <t>Space</t>
  </si>
  <si>
    <t>751-100</t>
  </si>
  <si>
    <t>TI-CC2650</t>
  </si>
  <si>
    <t>MPU-9250</t>
  </si>
  <si>
    <t>NCP707</t>
  </si>
  <si>
    <t>UTM-30LX</t>
  </si>
  <si>
    <t>SEN-08713</t>
  </si>
  <si>
    <t>9260AA6</t>
  </si>
  <si>
    <t>USB-6221</t>
  </si>
  <si>
    <t>GKC-2000</t>
  </si>
  <si>
    <t>MTi-1</t>
  </si>
  <si>
    <t>MTi-610</t>
  </si>
  <si>
    <t>MTi-610R</t>
  </si>
  <si>
    <t>MTi-100</t>
  </si>
  <si>
    <t>ADXL345</t>
  </si>
  <si>
    <t>L3GD20H</t>
  </si>
  <si>
    <t>AT-04-001</t>
  </si>
  <si>
    <t>FSS-SMT</t>
  </si>
  <si>
    <t>BMP280</t>
  </si>
  <si>
    <t>LPS25HBTR</t>
  </si>
  <si>
    <t>HMC5883L</t>
  </si>
  <si>
    <t>CC2541F128RHAR</t>
  </si>
  <si>
    <t>PIC24FJ256GB106</t>
  </si>
  <si>
    <t>PIC24FJ256GB108</t>
  </si>
  <si>
    <t>PIC24FJ256GB110</t>
  </si>
  <si>
    <t>ATMEGA2560-16AU</t>
  </si>
  <si>
    <t>ATSAM3X8EA-AU</t>
  </si>
  <si>
    <t>MSP430FR2353</t>
  </si>
  <si>
    <t>ISM330DLCTR</t>
  </si>
  <si>
    <t>LSM303AHTR</t>
  </si>
  <si>
    <t>AIS2DW12</t>
  </si>
  <si>
    <t>ISM303DAC</t>
  </si>
  <si>
    <t>nRF24L01+</t>
  </si>
  <si>
    <t>LSM9DS1</t>
  </si>
  <si>
    <t>PIC32MX150F128D (28-Pin SPDIP)</t>
  </si>
  <si>
    <t>ATmega32u4</t>
  </si>
  <si>
    <t>AD8221 (8-Lead SOIC)</t>
  </si>
  <si>
    <t>USB-6009</t>
  </si>
  <si>
    <t>LSM9DS0</t>
  </si>
  <si>
    <t>STM32L1 (UFBGA) 100pins</t>
  </si>
  <si>
    <t>BT33LT-F</t>
  </si>
  <si>
    <t>NIRSport</t>
  </si>
  <si>
    <t xml:space="preserve">AX3 </t>
  </si>
  <si>
    <t>LSM6D</t>
  </si>
  <si>
    <t>TDA4VPE-Q1</t>
  </si>
  <si>
    <t>AM273x (AM2732ADRFGAZCER)</t>
  </si>
  <si>
    <t>AM68x (FCBGA (ALZ) 770-pin)</t>
  </si>
  <si>
    <t>AM625-Q1 AMC (FCBGA, 441)</t>
  </si>
  <si>
    <t>AM67A74 AMW (FCBGA, 594) with VCA</t>
  </si>
  <si>
    <t>AM69A98 (FCBGA (ALY) 1414-pin)</t>
  </si>
  <si>
    <t>TDA4VM (FCBGA (ALF) 827-pin)</t>
  </si>
  <si>
    <t>TDA4AL (FCBGA (ALZ) 770-pin)</t>
  </si>
  <si>
    <t>TDA4VL (FCBGA (ALZ) 770-pin)</t>
  </si>
  <si>
    <t>STM32F2 (LQFP64)</t>
  </si>
  <si>
    <t>STM32F405 (LQFP176)</t>
  </si>
  <si>
    <t>STM32F722 (LQFP144)</t>
  </si>
  <si>
    <t>STM32H562 (LQFP100)</t>
  </si>
  <si>
    <t>STM32H742xI/G (UFBGA176+25)</t>
  </si>
  <si>
    <t>STM32N6x5xx (VFBGA178)</t>
  </si>
  <si>
    <t>STM32L051x6 (LQFP64)</t>
  </si>
  <si>
    <t>STM32L476xx (LQFP144)</t>
  </si>
  <si>
    <t>STM32U385xx (LQFP48)</t>
  </si>
  <si>
    <t>STM32U545xx (UFBGA64)</t>
  </si>
  <si>
    <t>STM32MP135F (LFBGA289)</t>
  </si>
  <si>
    <t>STM32MP251 (TFBGA361)</t>
  </si>
  <si>
    <t>EFR32BG26B311F1024IL136</t>
  </si>
  <si>
    <t>CC2651R3SIPA</t>
  </si>
  <si>
    <t>CC2652PSIP</t>
  </si>
  <si>
    <t>CC2650MODA</t>
  </si>
  <si>
    <t>CC1310F128RGZT</t>
  </si>
  <si>
    <t>CC1310F128RHBT</t>
  </si>
  <si>
    <t>ESP32 (QFN48)</t>
  </si>
  <si>
    <t>MAX30205 (TDFN-8)</t>
  </si>
  <si>
    <t>Si7050</t>
  </si>
  <si>
    <t>LMT70</t>
  </si>
  <si>
    <t>TMP117 (WSON)</t>
  </si>
  <si>
    <t>MAX30102</t>
  </si>
  <si>
    <t>AD8232</t>
  </si>
  <si>
    <t>MAX30100</t>
  </si>
  <si>
    <t>MAX9814 ( 14-Pin TDFN )</t>
  </si>
  <si>
    <t>SPH0645LM4H-B</t>
  </si>
  <si>
    <t xml:space="preserve">ADMP401 </t>
  </si>
  <si>
    <t>MP34DT01</t>
  </si>
  <si>
    <t>IM69D130</t>
  </si>
  <si>
    <t>TLV320ADC5140</t>
  </si>
  <si>
    <t>CS5343</t>
  </si>
  <si>
    <t>HC05</t>
  </si>
  <si>
    <t>RN-42</t>
  </si>
  <si>
    <t>BlueNRG-MS</t>
  </si>
  <si>
    <t>nRF52840</t>
  </si>
  <si>
    <t>PmodBT2</t>
  </si>
  <si>
    <t>AS_NRF51822</t>
  </si>
  <si>
    <t>SKY66110-11</t>
  </si>
  <si>
    <t>SE2438T</t>
  </si>
  <si>
    <t>Length(mm)</t>
  </si>
  <si>
    <t>Width(mm)</t>
  </si>
  <si>
    <t>name</t>
  </si>
  <si>
    <t>LDO</t>
  </si>
  <si>
    <t>LiDAR</t>
  </si>
  <si>
    <t>EMG</t>
  </si>
  <si>
    <t>MCU , BT</t>
  </si>
  <si>
    <t>MCU</t>
  </si>
  <si>
    <t>ACC</t>
  </si>
  <si>
    <t>ACC , GYRO</t>
  </si>
  <si>
    <t>FP</t>
  </si>
  <si>
    <t>GYRO</t>
  </si>
  <si>
    <t>FSR</t>
  </si>
  <si>
    <t>FS</t>
  </si>
  <si>
    <t>MAG</t>
  </si>
  <si>
    <t>ACC , MAG</t>
  </si>
  <si>
    <t>ACC , GYRO , MAG</t>
  </si>
  <si>
    <t>AMP</t>
  </si>
  <si>
    <t>ACC , GYRO , PRESS</t>
  </si>
  <si>
    <t>fNIRS</t>
  </si>
  <si>
    <t>TEMP</t>
  </si>
  <si>
    <t>HR , SpO2</t>
  </si>
  <si>
    <t>ECG</t>
  </si>
  <si>
    <t>MIC</t>
  </si>
  <si>
    <t>ICS‐43432</t>
  </si>
  <si>
    <t>ADC</t>
  </si>
  <si>
    <t>USB</t>
  </si>
  <si>
    <t>BT</t>
  </si>
  <si>
    <t>MCU , BT , ZIGBEE , THREAD</t>
  </si>
  <si>
    <t>MCU , BT , WIFI</t>
  </si>
  <si>
    <t>RF , FRONTEND</t>
  </si>
  <si>
    <t>MCU , RF</t>
  </si>
  <si>
    <t>MCU, BT</t>
  </si>
  <si>
    <t>RF , TRANSCEIVER</t>
  </si>
  <si>
    <t>MCU , BT ,  ZIGBEE , THREAD</t>
  </si>
  <si>
    <t>Physiolog®5</t>
  </si>
  <si>
    <t>type</t>
  </si>
  <si>
    <t>clock_frequency(MHz)</t>
  </si>
  <si>
    <t>bus_width (bits)</t>
  </si>
  <si>
    <t>ACC , GYRO, MAG</t>
  </si>
  <si>
    <t>0.004, 0.008, 0.0001</t>
  </si>
  <si>
    <t>3 bytes (distance) , 3 bytes (intensity)</t>
  </si>
  <si>
    <t>1080 steps,  40 scans/sec</t>
  </si>
  <si>
    <t>PRESS, TEMP</t>
  </si>
  <si>
    <t>157 Hz</t>
  </si>
  <si>
    <t>25 Hz</t>
  </si>
  <si>
    <t>24 ,16</t>
  </si>
  <si>
    <t>160 Hz</t>
  </si>
  <si>
    <t>20 Hz</t>
  </si>
  <si>
    <t>6.66 KHz</t>
  </si>
  <si>
    <t>(16*9)</t>
  </si>
  <si>
    <t>16*3 ,16*3,16*3</t>
  </si>
  <si>
    <t>16*6</t>
  </si>
  <si>
    <t>16*3</t>
  </si>
  <si>
    <t>24*2</t>
  </si>
  <si>
    <t>3200 Hz</t>
  </si>
  <si>
    <t>6400 , 100 Hz</t>
  </si>
  <si>
    <t>100 Hz</t>
  </si>
  <si>
    <t>16*9</t>
  </si>
  <si>
    <t>952, 952,80 Hz</t>
  </si>
  <si>
    <t>757.6 Hz</t>
  </si>
  <si>
    <t>6400 , 150 Hz</t>
  </si>
  <si>
    <t>1600, 760,100 Hz</t>
  </si>
  <si>
    <t>128, 128, 64 Hz</t>
  </si>
  <si>
    <t>6.66 kHz</t>
  </si>
  <si>
    <t>92.6 Hz</t>
  </si>
  <si>
    <t>1 Hz</t>
  </si>
  <si>
    <t>18*2</t>
  </si>
  <si>
    <t>16*2</t>
  </si>
  <si>
    <t>1000 Hz</t>
  </si>
  <si>
    <t>64 KHz</t>
  </si>
  <si>
    <t>48 KHz</t>
  </si>
  <si>
    <t>15 kHz</t>
  </si>
  <si>
    <t>768 kHz</t>
  </si>
  <si>
    <t>32*4</t>
  </si>
  <si>
    <t>108 kHz</t>
  </si>
  <si>
    <t>48 kS/s</t>
  </si>
  <si>
    <t>250 kS/s</t>
  </si>
  <si>
    <t xml:space="preserve">2496, 2 </t>
  </si>
  <si>
    <t>1536, 2, 0.25, 0.15</t>
  </si>
  <si>
    <t>1536, 2,0.25,0.15</t>
  </si>
  <si>
    <t>1536, 1,0.25,0.15</t>
  </si>
  <si>
    <t>1536, 4</t>
  </si>
  <si>
    <t>7680, 1, 150</t>
  </si>
  <si>
    <t>2048, 2, 0.25, 0.15</t>
  </si>
  <si>
    <t>512, 1</t>
  </si>
  <si>
    <t>2 , 2</t>
  </si>
  <si>
    <t>Throughput</t>
  </si>
  <si>
    <t>Throughput2</t>
  </si>
  <si>
    <t>Nvidia_xavier</t>
  </si>
  <si>
    <t>Rpi5</t>
  </si>
  <si>
    <t>Odroid_XU3</t>
  </si>
  <si>
    <t>Supply_v</t>
  </si>
  <si>
    <t>MIPS</t>
  </si>
  <si>
    <t>Latency(for task filtering),micros</t>
  </si>
  <si>
    <t>Power_W</t>
  </si>
  <si>
    <t>Flops-&gt;inst</t>
  </si>
  <si>
    <t>TaskFiltering Flops per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</si>
</sst>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zoomScale="70" zoomScaleNormal="70" workbookViewId="0">
      <selection activeCell="S23" sqref="S23"/>
    </sheetView>
  </sheetViews>
  <sheetFormatPr defaultRowHeight="15" x14ac:dyDescent="0.25"/>
  <cols>
    <col min="1" max="1" width="35.7109375" bestFit="1" customWidth="1"/>
    <col min="2" max="2" width="20" bestFit="1" customWidth="1"/>
    <col min="4" max="4" width="11.85546875" bestFit="1" customWidth="1"/>
    <col min="5" max="5" width="11.42578125" bestFit="1" customWidth="1"/>
    <col min="8" max="8" width="34.7109375" style="3" bestFit="1" customWidth="1"/>
    <col min="9" max="9" width="24" style="3" bestFit="1" customWidth="1"/>
    <col min="10" max="11" width="18.28515625" bestFit="1" customWidth="1"/>
    <col min="12" max="12" width="10.85546875" bestFit="1" customWidth="1"/>
    <col min="13" max="13" width="24.5703125" bestFit="1" customWidth="1"/>
    <col min="16" max="16" width="26.85546875" bestFit="1" customWidth="1"/>
  </cols>
  <sheetData>
    <row r="1" spans="1:16" x14ac:dyDescent="0.25">
      <c r="A1" t="s">
        <v>97</v>
      </c>
      <c r="B1" t="s">
        <v>131</v>
      </c>
      <c r="C1" t="s">
        <v>0</v>
      </c>
      <c r="D1" s="1" t="s">
        <v>95</v>
      </c>
      <c r="E1" s="1" t="s">
        <v>96</v>
      </c>
      <c r="F1" t="s">
        <v>1</v>
      </c>
      <c r="G1" t="s">
        <v>187</v>
      </c>
      <c r="H1" s="6" t="s">
        <v>133</v>
      </c>
      <c r="I1" s="6" t="s">
        <v>132</v>
      </c>
      <c r="J1" t="s">
        <v>182</v>
      </c>
      <c r="K1" t="s">
        <v>183</v>
      </c>
      <c r="L1" t="s">
        <v>190</v>
      </c>
      <c r="M1" t="s">
        <v>189</v>
      </c>
      <c r="N1" t="s">
        <v>188</v>
      </c>
      <c r="O1" t="s">
        <v>191</v>
      </c>
      <c r="P1" t="s">
        <v>192</v>
      </c>
    </row>
    <row r="2" spans="1:16" x14ac:dyDescent="0.25">
      <c r="A2" t="s">
        <v>3</v>
      </c>
      <c r="B2" t="s">
        <v>101</v>
      </c>
      <c r="C2">
        <v>0</v>
      </c>
      <c r="D2">
        <v>4</v>
      </c>
      <c r="E2">
        <v>4</v>
      </c>
      <c r="F2">
        <f t="shared" ref="F2:F36" si="0">D2*E2</f>
        <v>16</v>
      </c>
      <c r="G2">
        <v>3.8</v>
      </c>
      <c r="H2" s="3">
        <v>32</v>
      </c>
      <c r="I2" s="3">
        <v>48</v>
      </c>
      <c r="J2">
        <f>H2*I2</f>
        <v>1536</v>
      </c>
      <c r="K2">
        <f>I2*J2</f>
        <v>73728</v>
      </c>
      <c r="L2">
        <v>5.5100000000000001E-3</v>
      </c>
      <c r="M2">
        <v>3460</v>
      </c>
      <c r="N2">
        <v>60</v>
      </c>
      <c r="O2">
        <v>15</v>
      </c>
      <c r="P2">
        <v>9</v>
      </c>
    </row>
    <row r="3" spans="1:16" x14ac:dyDescent="0.25">
      <c r="A3" t="s">
        <v>22</v>
      </c>
      <c r="B3" t="s">
        <v>101</v>
      </c>
      <c r="C3">
        <v>0</v>
      </c>
      <c r="D3">
        <v>6</v>
      </c>
      <c r="E3">
        <v>6</v>
      </c>
      <c r="F3">
        <f t="shared" si="0"/>
        <v>36</v>
      </c>
      <c r="G3">
        <v>3.6</v>
      </c>
      <c r="H3" s="3">
        <v>8</v>
      </c>
      <c r="I3" s="3">
        <v>32</v>
      </c>
      <c r="J3">
        <f t="shared" ref="J3:K36" si="1">H3*I3</f>
        <v>256</v>
      </c>
      <c r="K3">
        <f t="shared" si="1"/>
        <v>8192</v>
      </c>
      <c r="L3">
        <v>1</v>
      </c>
      <c r="M3">
        <v>1</v>
      </c>
    </row>
    <row r="4" spans="1:16" x14ac:dyDescent="0.25">
      <c r="A4" t="s">
        <v>23</v>
      </c>
      <c r="B4" t="s">
        <v>102</v>
      </c>
      <c r="C4">
        <v>0</v>
      </c>
      <c r="D4">
        <v>12</v>
      </c>
      <c r="E4">
        <v>12</v>
      </c>
      <c r="F4">
        <f t="shared" si="0"/>
        <v>144</v>
      </c>
      <c r="G4">
        <v>3.6</v>
      </c>
      <c r="H4" s="3">
        <v>16</v>
      </c>
      <c r="I4" s="3">
        <v>32</v>
      </c>
      <c r="J4">
        <f t="shared" si="1"/>
        <v>512</v>
      </c>
      <c r="K4">
        <f t="shared" si="1"/>
        <v>16384</v>
      </c>
      <c r="L4">
        <v>5.7599999999999998E-2</v>
      </c>
      <c r="M4">
        <v>17300</v>
      </c>
      <c r="N4">
        <v>16</v>
      </c>
      <c r="O4">
        <v>20</v>
      </c>
    </row>
    <row r="5" spans="1:16" x14ac:dyDescent="0.25">
      <c r="A5" t="s">
        <v>24</v>
      </c>
      <c r="B5" t="s">
        <v>102</v>
      </c>
      <c r="C5">
        <v>0</v>
      </c>
      <c r="D5">
        <v>12</v>
      </c>
      <c r="E5">
        <v>12</v>
      </c>
      <c r="F5">
        <f t="shared" si="0"/>
        <v>144</v>
      </c>
      <c r="G5">
        <v>3.6</v>
      </c>
      <c r="H5" s="3">
        <v>16</v>
      </c>
      <c r="I5" s="3">
        <v>32</v>
      </c>
      <c r="J5">
        <f t="shared" si="1"/>
        <v>512</v>
      </c>
      <c r="K5">
        <f t="shared" si="1"/>
        <v>16384</v>
      </c>
      <c r="L5">
        <v>5.7599999999999998E-2</v>
      </c>
      <c r="M5">
        <v>17300</v>
      </c>
      <c r="N5">
        <v>16</v>
      </c>
      <c r="O5">
        <v>20</v>
      </c>
    </row>
    <row r="6" spans="1:16" x14ac:dyDescent="0.25">
      <c r="A6" t="s">
        <v>25</v>
      </c>
      <c r="B6" t="s">
        <v>102</v>
      </c>
      <c r="C6">
        <v>0</v>
      </c>
      <c r="D6">
        <v>12</v>
      </c>
      <c r="E6">
        <v>12</v>
      </c>
      <c r="F6">
        <f t="shared" si="0"/>
        <v>144</v>
      </c>
      <c r="G6">
        <v>3.6</v>
      </c>
      <c r="H6" s="3">
        <v>16</v>
      </c>
      <c r="I6" s="3">
        <v>32</v>
      </c>
      <c r="J6">
        <f t="shared" si="1"/>
        <v>512</v>
      </c>
      <c r="K6">
        <f t="shared" si="1"/>
        <v>16384</v>
      </c>
      <c r="L6">
        <v>5.7599999999999998E-2</v>
      </c>
      <c r="M6">
        <v>17300</v>
      </c>
      <c r="N6">
        <v>16</v>
      </c>
      <c r="O6">
        <v>20</v>
      </c>
    </row>
    <row r="7" spans="1:16" x14ac:dyDescent="0.25">
      <c r="A7" t="s">
        <v>26</v>
      </c>
      <c r="B7" t="s">
        <v>102</v>
      </c>
      <c r="C7">
        <v>0</v>
      </c>
      <c r="D7">
        <v>14</v>
      </c>
      <c r="E7">
        <v>14</v>
      </c>
      <c r="F7">
        <f t="shared" si="0"/>
        <v>196</v>
      </c>
      <c r="G7">
        <v>5.5</v>
      </c>
      <c r="H7" s="3">
        <v>8</v>
      </c>
      <c r="I7" s="3">
        <v>16</v>
      </c>
      <c r="J7">
        <f t="shared" si="1"/>
        <v>128</v>
      </c>
      <c r="K7">
        <f t="shared" si="1"/>
        <v>2048</v>
      </c>
      <c r="L7">
        <v>1.485E-2</v>
      </c>
      <c r="M7">
        <v>25900</v>
      </c>
      <c r="N7">
        <v>16</v>
      </c>
      <c r="O7">
        <v>30</v>
      </c>
    </row>
    <row r="8" spans="1:16" x14ac:dyDescent="0.25">
      <c r="A8" t="s">
        <v>27</v>
      </c>
      <c r="B8" t="s">
        <v>102</v>
      </c>
      <c r="C8">
        <v>0</v>
      </c>
      <c r="D8">
        <v>20</v>
      </c>
      <c r="E8">
        <v>20</v>
      </c>
      <c r="F8">
        <f t="shared" si="0"/>
        <v>400</v>
      </c>
      <c r="G8">
        <v>3.6</v>
      </c>
      <c r="H8" s="3">
        <v>32</v>
      </c>
      <c r="I8" s="3">
        <v>84</v>
      </c>
      <c r="J8">
        <f t="shared" si="1"/>
        <v>2688</v>
      </c>
      <c r="K8">
        <f t="shared" si="1"/>
        <v>225792</v>
      </c>
      <c r="L8">
        <v>0.2475</v>
      </c>
      <c r="M8">
        <v>1975</v>
      </c>
      <c r="N8">
        <v>105</v>
      </c>
      <c r="O8">
        <v>15</v>
      </c>
    </row>
    <row r="9" spans="1:16" x14ac:dyDescent="0.25">
      <c r="A9" t="s">
        <v>28</v>
      </c>
      <c r="B9" t="s">
        <v>102</v>
      </c>
      <c r="C9">
        <v>0</v>
      </c>
      <c r="D9">
        <v>9.6</v>
      </c>
      <c r="E9">
        <v>9.6</v>
      </c>
      <c r="F9">
        <f t="shared" si="0"/>
        <v>92.16</v>
      </c>
      <c r="G9">
        <v>3.6</v>
      </c>
      <c r="H9" s="3">
        <v>16</v>
      </c>
      <c r="I9" s="3">
        <v>24</v>
      </c>
      <c r="J9">
        <f t="shared" si="1"/>
        <v>384</v>
      </c>
      <c r="K9">
        <f t="shared" si="1"/>
        <v>9216</v>
      </c>
      <c r="L9">
        <v>1.0200000000000001E-2</v>
      </c>
      <c r="M9">
        <v>1</v>
      </c>
      <c r="O9">
        <v>40</v>
      </c>
    </row>
    <row r="10" spans="1:16" x14ac:dyDescent="0.25">
      <c r="A10" t="s">
        <v>35</v>
      </c>
      <c r="B10" t="s">
        <v>102</v>
      </c>
      <c r="C10">
        <v>0</v>
      </c>
      <c r="D10">
        <v>285</v>
      </c>
      <c r="E10">
        <v>135</v>
      </c>
      <c r="F10">
        <f t="shared" si="0"/>
        <v>38475</v>
      </c>
      <c r="G10">
        <v>3.6</v>
      </c>
      <c r="H10" s="3">
        <v>32</v>
      </c>
      <c r="I10" s="3">
        <v>50</v>
      </c>
      <c r="J10">
        <f t="shared" si="1"/>
        <v>1600</v>
      </c>
      <c r="K10">
        <f t="shared" si="1"/>
        <v>80000</v>
      </c>
      <c r="L10">
        <v>8.2500000000000004E-2</v>
      </c>
      <c r="M10">
        <v>2831</v>
      </c>
      <c r="N10">
        <v>83</v>
      </c>
      <c r="O10">
        <v>17</v>
      </c>
    </row>
    <row r="11" spans="1:16" x14ac:dyDescent="0.25">
      <c r="A11" t="s">
        <v>36</v>
      </c>
      <c r="B11" t="s">
        <v>102</v>
      </c>
      <c r="C11">
        <v>0</v>
      </c>
      <c r="D11">
        <v>34</v>
      </c>
      <c r="E11">
        <v>18</v>
      </c>
      <c r="F11">
        <f t="shared" si="0"/>
        <v>612</v>
      </c>
      <c r="G11">
        <v>5.5</v>
      </c>
      <c r="H11" s="3">
        <v>8</v>
      </c>
      <c r="I11" s="3">
        <v>16</v>
      </c>
      <c r="J11">
        <f t="shared" si="1"/>
        <v>128</v>
      </c>
      <c r="K11">
        <f t="shared" si="1"/>
        <v>2048</v>
      </c>
      <c r="L11">
        <v>1</v>
      </c>
      <c r="M11">
        <v>1</v>
      </c>
    </row>
    <row r="12" spans="1:16" x14ac:dyDescent="0.25">
      <c r="A12" t="s">
        <v>40</v>
      </c>
      <c r="B12" t="s">
        <v>102</v>
      </c>
      <c r="C12">
        <v>0</v>
      </c>
      <c r="D12">
        <v>7</v>
      </c>
      <c r="E12">
        <v>7</v>
      </c>
      <c r="F12">
        <f t="shared" si="0"/>
        <v>49</v>
      </c>
      <c r="G12">
        <v>3.6</v>
      </c>
      <c r="H12" s="3">
        <v>32</v>
      </c>
      <c r="I12" s="3">
        <v>32</v>
      </c>
      <c r="J12">
        <f t="shared" si="1"/>
        <v>1024</v>
      </c>
      <c r="K12">
        <f t="shared" si="1"/>
        <v>32768</v>
      </c>
      <c r="L12">
        <v>1</v>
      </c>
      <c r="M12">
        <v>1</v>
      </c>
    </row>
    <row r="13" spans="1:16" x14ac:dyDescent="0.25">
      <c r="A13" t="s">
        <v>45</v>
      </c>
      <c r="B13" t="s">
        <v>102</v>
      </c>
      <c r="C13">
        <v>0</v>
      </c>
      <c r="D13">
        <v>27</v>
      </c>
      <c r="E13">
        <v>27</v>
      </c>
      <c r="F13">
        <f t="shared" si="0"/>
        <v>729</v>
      </c>
      <c r="G13">
        <v>0.84</v>
      </c>
      <c r="H13" s="3">
        <v>32</v>
      </c>
      <c r="I13" s="3">
        <v>2000</v>
      </c>
      <c r="J13">
        <f t="shared" si="1"/>
        <v>64000</v>
      </c>
      <c r="K13">
        <f t="shared" si="1"/>
        <v>128000000</v>
      </c>
      <c r="L13">
        <v>1</v>
      </c>
      <c r="M13">
        <v>1</v>
      </c>
    </row>
    <row r="14" spans="1:16" x14ac:dyDescent="0.25">
      <c r="A14" t="s">
        <v>46</v>
      </c>
      <c r="B14" t="s">
        <v>102</v>
      </c>
      <c r="C14">
        <v>0</v>
      </c>
      <c r="D14">
        <v>13</v>
      </c>
      <c r="E14">
        <v>13</v>
      </c>
      <c r="F14">
        <f t="shared" si="0"/>
        <v>169</v>
      </c>
      <c r="G14">
        <v>1.2</v>
      </c>
      <c r="H14" s="3">
        <v>32</v>
      </c>
      <c r="I14" s="3">
        <v>400</v>
      </c>
      <c r="J14">
        <f t="shared" si="1"/>
        <v>12800</v>
      </c>
      <c r="K14">
        <f t="shared" si="1"/>
        <v>5120000</v>
      </c>
      <c r="L14">
        <v>1</v>
      </c>
      <c r="M14">
        <v>1</v>
      </c>
    </row>
    <row r="15" spans="1:16" x14ac:dyDescent="0.25">
      <c r="A15" t="s">
        <v>47</v>
      </c>
      <c r="B15" t="s">
        <v>102</v>
      </c>
      <c r="C15">
        <v>0</v>
      </c>
      <c r="D15">
        <v>23</v>
      </c>
      <c r="E15">
        <v>23</v>
      </c>
      <c r="F15">
        <f t="shared" si="0"/>
        <v>529</v>
      </c>
      <c r="G15">
        <v>0.8</v>
      </c>
      <c r="H15" s="3">
        <v>32</v>
      </c>
      <c r="I15" s="3">
        <v>2000</v>
      </c>
      <c r="J15">
        <f t="shared" si="1"/>
        <v>64000</v>
      </c>
      <c r="K15">
        <f t="shared" si="1"/>
        <v>128000000</v>
      </c>
      <c r="L15">
        <v>1</v>
      </c>
      <c r="M15">
        <v>1</v>
      </c>
    </row>
    <row r="16" spans="1:16" x14ac:dyDescent="0.25">
      <c r="A16" t="s">
        <v>48</v>
      </c>
      <c r="B16" t="s">
        <v>102</v>
      </c>
      <c r="C16">
        <v>0</v>
      </c>
      <c r="D16">
        <v>17.2</v>
      </c>
      <c r="E16">
        <v>17.2</v>
      </c>
      <c r="F16">
        <f t="shared" si="0"/>
        <v>295.83999999999997</v>
      </c>
      <c r="G16">
        <v>0.75</v>
      </c>
      <c r="H16" s="3">
        <v>32</v>
      </c>
      <c r="I16" s="3">
        <v>400</v>
      </c>
      <c r="J16">
        <f t="shared" si="1"/>
        <v>12800</v>
      </c>
      <c r="K16">
        <f t="shared" si="1"/>
        <v>5120000</v>
      </c>
      <c r="L16">
        <v>1</v>
      </c>
      <c r="M16">
        <v>1</v>
      </c>
    </row>
    <row r="17" spans="1:13" x14ac:dyDescent="0.25">
      <c r="A17" t="s">
        <v>49</v>
      </c>
      <c r="B17" t="s">
        <v>102</v>
      </c>
      <c r="C17">
        <v>0</v>
      </c>
      <c r="D17">
        <v>18</v>
      </c>
      <c r="E17">
        <v>18</v>
      </c>
      <c r="F17">
        <f t="shared" si="0"/>
        <v>324</v>
      </c>
      <c r="G17">
        <v>1.05</v>
      </c>
      <c r="H17" s="3">
        <v>64</v>
      </c>
      <c r="I17" s="3">
        <v>800</v>
      </c>
      <c r="J17">
        <f t="shared" si="1"/>
        <v>51200</v>
      </c>
      <c r="K17">
        <f t="shared" si="1"/>
        <v>40960000</v>
      </c>
      <c r="L17">
        <v>1</v>
      </c>
      <c r="M17">
        <v>1</v>
      </c>
    </row>
    <row r="18" spans="1:13" x14ac:dyDescent="0.25">
      <c r="A18" t="s">
        <v>50</v>
      </c>
      <c r="B18" t="s">
        <v>102</v>
      </c>
      <c r="C18">
        <v>0</v>
      </c>
      <c r="D18">
        <v>31</v>
      </c>
      <c r="E18">
        <v>31</v>
      </c>
      <c r="F18">
        <f t="shared" si="0"/>
        <v>961</v>
      </c>
      <c r="G18">
        <v>1.05</v>
      </c>
      <c r="H18" s="3">
        <v>64</v>
      </c>
      <c r="I18" s="3">
        <v>1000</v>
      </c>
      <c r="J18">
        <f t="shared" si="1"/>
        <v>64000</v>
      </c>
      <c r="K18">
        <f t="shared" si="1"/>
        <v>64000000</v>
      </c>
      <c r="L18">
        <v>1</v>
      </c>
      <c r="M18">
        <v>1</v>
      </c>
    </row>
    <row r="19" spans="1:13" x14ac:dyDescent="0.25">
      <c r="A19" t="s">
        <v>51</v>
      </c>
      <c r="B19" t="s">
        <v>102</v>
      </c>
      <c r="C19">
        <v>0</v>
      </c>
      <c r="D19">
        <v>24</v>
      </c>
      <c r="E19">
        <v>24</v>
      </c>
      <c r="F19">
        <f t="shared" si="0"/>
        <v>576</v>
      </c>
      <c r="G19">
        <v>0.84</v>
      </c>
      <c r="H19" s="3">
        <v>64</v>
      </c>
      <c r="I19" s="3">
        <v>1000</v>
      </c>
      <c r="J19">
        <f t="shared" si="1"/>
        <v>64000</v>
      </c>
      <c r="K19">
        <f t="shared" si="1"/>
        <v>64000000</v>
      </c>
      <c r="L19">
        <v>1</v>
      </c>
      <c r="M19">
        <v>1</v>
      </c>
    </row>
    <row r="20" spans="1:13" x14ac:dyDescent="0.25">
      <c r="A20" t="s">
        <v>52</v>
      </c>
      <c r="B20" t="s">
        <v>102</v>
      </c>
      <c r="C20">
        <v>0</v>
      </c>
      <c r="D20">
        <v>23</v>
      </c>
      <c r="E20">
        <v>23</v>
      </c>
      <c r="F20">
        <f t="shared" si="0"/>
        <v>529</v>
      </c>
      <c r="G20">
        <v>1.05</v>
      </c>
      <c r="H20" s="3">
        <v>64</v>
      </c>
      <c r="I20" s="3">
        <v>1000</v>
      </c>
      <c r="J20">
        <f t="shared" si="1"/>
        <v>64000</v>
      </c>
      <c r="K20">
        <f t="shared" si="1"/>
        <v>64000000</v>
      </c>
      <c r="L20">
        <v>1</v>
      </c>
      <c r="M20">
        <v>1</v>
      </c>
    </row>
    <row r="21" spans="1:13" x14ac:dyDescent="0.25">
      <c r="A21" t="s">
        <v>53</v>
      </c>
      <c r="B21" t="s">
        <v>102</v>
      </c>
      <c r="C21">
        <v>0</v>
      </c>
      <c r="D21">
        <v>23</v>
      </c>
      <c r="E21">
        <v>23</v>
      </c>
      <c r="F21">
        <f t="shared" si="0"/>
        <v>529</v>
      </c>
      <c r="G21">
        <v>1.05</v>
      </c>
      <c r="H21" s="3">
        <v>64</v>
      </c>
      <c r="I21" s="3">
        <v>1000</v>
      </c>
      <c r="J21">
        <f t="shared" si="1"/>
        <v>64000</v>
      </c>
      <c r="K21">
        <f t="shared" si="1"/>
        <v>64000000</v>
      </c>
      <c r="L21">
        <v>1</v>
      </c>
      <c r="M21">
        <v>1</v>
      </c>
    </row>
    <row r="22" spans="1:13" x14ac:dyDescent="0.25">
      <c r="A22" t="s">
        <v>54</v>
      </c>
      <c r="B22" t="s">
        <v>102</v>
      </c>
      <c r="C22">
        <v>0</v>
      </c>
      <c r="D22">
        <v>10</v>
      </c>
      <c r="E22">
        <v>10</v>
      </c>
      <c r="F22">
        <f t="shared" si="0"/>
        <v>100</v>
      </c>
      <c r="G22">
        <v>3.6</v>
      </c>
      <c r="H22" s="3">
        <v>32</v>
      </c>
      <c r="I22" s="3">
        <v>120</v>
      </c>
      <c r="J22">
        <f t="shared" si="1"/>
        <v>3840</v>
      </c>
      <c r="K22">
        <f t="shared" si="1"/>
        <v>460800</v>
      </c>
      <c r="L22">
        <v>1</v>
      </c>
      <c r="M22">
        <v>1</v>
      </c>
    </row>
    <row r="23" spans="1:13" x14ac:dyDescent="0.25">
      <c r="A23" t="s">
        <v>55</v>
      </c>
      <c r="B23" t="s">
        <v>102</v>
      </c>
      <c r="C23">
        <v>0</v>
      </c>
      <c r="D23">
        <v>24</v>
      </c>
      <c r="E23">
        <v>24</v>
      </c>
      <c r="F23">
        <f t="shared" si="0"/>
        <v>576</v>
      </c>
      <c r="G23">
        <v>4</v>
      </c>
      <c r="H23" s="3">
        <v>32</v>
      </c>
      <c r="I23" s="3">
        <v>168</v>
      </c>
      <c r="J23">
        <f t="shared" si="1"/>
        <v>5376</v>
      </c>
      <c r="K23">
        <f t="shared" si="1"/>
        <v>903168</v>
      </c>
      <c r="L23">
        <v>1</v>
      </c>
      <c r="M23">
        <v>1</v>
      </c>
    </row>
    <row r="24" spans="1:13" x14ac:dyDescent="0.25">
      <c r="A24" t="s">
        <v>56</v>
      </c>
      <c r="B24" t="s">
        <v>102</v>
      </c>
      <c r="C24">
        <v>0</v>
      </c>
      <c r="D24">
        <v>20</v>
      </c>
      <c r="E24">
        <v>20</v>
      </c>
      <c r="F24">
        <f t="shared" si="0"/>
        <v>400</v>
      </c>
      <c r="G24">
        <v>4</v>
      </c>
      <c r="H24" s="3">
        <v>32</v>
      </c>
      <c r="I24" s="3">
        <v>216</v>
      </c>
      <c r="J24">
        <f t="shared" si="1"/>
        <v>6912</v>
      </c>
      <c r="K24">
        <f t="shared" si="1"/>
        <v>1492992</v>
      </c>
      <c r="L24">
        <v>1</v>
      </c>
      <c r="M24">
        <v>1</v>
      </c>
    </row>
    <row r="25" spans="1:13" x14ac:dyDescent="0.25">
      <c r="A25" t="s">
        <v>57</v>
      </c>
      <c r="B25" t="s">
        <v>102</v>
      </c>
      <c r="C25">
        <v>0</v>
      </c>
      <c r="D25">
        <v>14</v>
      </c>
      <c r="E25">
        <v>14</v>
      </c>
      <c r="F25">
        <f t="shared" si="0"/>
        <v>196</v>
      </c>
      <c r="G25">
        <v>3.6</v>
      </c>
      <c r="H25" s="3">
        <v>32</v>
      </c>
      <c r="I25" s="3">
        <v>250</v>
      </c>
      <c r="J25">
        <f t="shared" si="1"/>
        <v>8000</v>
      </c>
      <c r="K25">
        <f t="shared" si="1"/>
        <v>2000000</v>
      </c>
      <c r="L25">
        <v>1</v>
      </c>
      <c r="M25">
        <v>1</v>
      </c>
    </row>
    <row r="26" spans="1:13" x14ac:dyDescent="0.25">
      <c r="A26" t="s">
        <v>58</v>
      </c>
      <c r="B26" t="s">
        <v>102</v>
      </c>
      <c r="C26">
        <v>0</v>
      </c>
      <c r="D26">
        <v>10</v>
      </c>
      <c r="E26">
        <v>10</v>
      </c>
      <c r="F26">
        <f t="shared" si="0"/>
        <v>100</v>
      </c>
      <c r="G26">
        <v>3.6</v>
      </c>
      <c r="H26" s="3">
        <v>32</v>
      </c>
      <c r="I26" s="3">
        <v>480</v>
      </c>
      <c r="J26">
        <f t="shared" si="1"/>
        <v>15360</v>
      </c>
      <c r="K26">
        <f t="shared" si="1"/>
        <v>7372800</v>
      </c>
      <c r="L26">
        <v>1</v>
      </c>
      <c r="M26">
        <v>1</v>
      </c>
    </row>
    <row r="27" spans="1:13" x14ac:dyDescent="0.25">
      <c r="A27" t="s">
        <v>59</v>
      </c>
      <c r="B27" t="s">
        <v>102</v>
      </c>
      <c r="C27">
        <v>0</v>
      </c>
      <c r="D27">
        <v>12</v>
      </c>
      <c r="E27">
        <v>12</v>
      </c>
      <c r="F27">
        <f t="shared" si="0"/>
        <v>144</v>
      </c>
      <c r="G27">
        <v>3.6</v>
      </c>
      <c r="H27" s="3">
        <v>32</v>
      </c>
      <c r="I27" s="3">
        <v>800</v>
      </c>
      <c r="J27">
        <f t="shared" si="1"/>
        <v>25600</v>
      </c>
      <c r="K27">
        <f t="shared" si="1"/>
        <v>20480000</v>
      </c>
      <c r="L27">
        <v>1</v>
      </c>
      <c r="M27">
        <v>1</v>
      </c>
    </row>
    <row r="28" spans="1:13" x14ac:dyDescent="0.25">
      <c r="A28" t="s">
        <v>60</v>
      </c>
      <c r="B28" t="s">
        <v>102</v>
      </c>
      <c r="C28">
        <v>0</v>
      </c>
      <c r="D28">
        <v>10</v>
      </c>
      <c r="E28">
        <v>10</v>
      </c>
      <c r="F28">
        <f t="shared" si="0"/>
        <v>100</v>
      </c>
      <c r="G28">
        <v>3.6</v>
      </c>
      <c r="H28" s="3">
        <v>32</v>
      </c>
      <c r="I28" s="3">
        <v>32</v>
      </c>
      <c r="J28">
        <f t="shared" si="1"/>
        <v>1024</v>
      </c>
      <c r="K28">
        <f t="shared" si="1"/>
        <v>32768</v>
      </c>
      <c r="L28">
        <v>1</v>
      </c>
      <c r="M28">
        <v>1</v>
      </c>
    </row>
    <row r="29" spans="1:13" x14ac:dyDescent="0.25">
      <c r="A29" t="s">
        <v>61</v>
      </c>
      <c r="B29" t="s">
        <v>102</v>
      </c>
      <c r="C29">
        <v>0</v>
      </c>
      <c r="D29">
        <v>20</v>
      </c>
      <c r="E29">
        <v>20</v>
      </c>
      <c r="F29">
        <f t="shared" si="0"/>
        <v>400</v>
      </c>
      <c r="G29">
        <v>3.6</v>
      </c>
      <c r="H29" s="3">
        <v>32</v>
      </c>
      <c r="I29" s="3">
        <v>80</v>
      </c>
      <c r="J29">
        <f t="shared" si="1"/>
        <v>2560</v>
      </c>
      <c r="K29">
        <f t="shared" si="1"/>
        <v>204800</v>
      </c>
      <c r="L29">
        <v>1</v>
      </c>
      <c r="M29">
        <v>1</v>
      </c>
    </row>
    <row r="30" spans="1:13" x14ac:dyDescent="0.25">
      <c r="A30" t="s">
        <v>62</v>
      </c>
      <c r="B30" t="s">
        <v>102</v>
      </c>
      <c r="C30">
        <v>0</v>
      </c>
      <c r="D30">
        <v>7</v>
      </c>
      <c r="E30">
        <v>7</v>
      </c>
      <c r="F30">
        <f t="shared" si="0"/>
        <v>49</v>
      </c>
      <c r="G30">
        <v>3.6</v>
      </c>
      <c r="H30" s="3">
        <v>32</v>
      </c>
      <c r="I30" s="3">
        <v>96</v>
      </c>
      <c r="J30">
        <f t="shared" si="1"/>
        <v>3072</v>
      </c>
      <c r="K30">
        <f t="shared" si="1"/>
        <v>294912</v>
      </c>
      <c r="L30">
        <v>1</v>
      </c>
      <c r="M30">
        <v>1</v>
      </c>
    </row>
    <row r="31" spans="1:13" x14ac:dyDescent="0.25">
      <c r="A31" t="s">
        <v>63</v>
      </c>
      <c r="B31" t="s">
        <v>102</v>
      </c>
      <c r="C31">
        <v>0</v>
      </c>
      <c r="D31">
        <v>5</v>
      </c>
      <c r="E31">
        <v>5</v>
      </c>
      <c r="F31">
        <f t="shared" si="0"/>
        <v>25</v>
      </c>
      <c r="G31">
        <v>3.6</v>
      </c>
      <c r="H31" s="3">
        <v>32</v>
      </c>
      <c r="I31" s="3">
        <v>50</v>
      </c>
      <c r="J31">
        <f t="shared" si="1"/>
        <v>1600</v>
      </c>
      <c r="K31">
        <f t="shared" si="1"/>
        <v>80000</v>
      </c>
      <c r="L31">
        <v>1</v>
      </c>
      <c r="M31">
        <v>1</v>
      </c>
    </row>
    <row r="32" spans="1:13" x14ac:dyDescent="0.25">
      <c r="A32" t="s">
        <v>64</v>
      </c>
      <c r="B32" t="s">
        <v>102</v>
      </c>
      <c r="C32">
        <v>0</v>
      </c>
      <c r="D32">
        <v>14</v>
      </c>
      <c r="E32">
        <v>14</v>
      </c>
      <c r="F32">
        <f t="shared" si="0"/>
        <v>196</v>
      </c>
      <c r="G32">
        <v>3.6</v>
      </c>
      <c r="H32" s="3">
        <v>32</v>
      </c>
      <c r="I32" s="3">
        <v>1000</v>
      </c>
      <c r="J32">
        <f t="shared" si="1"/>
        <v>32000</v>
      </c>
      <c r="K32">
        <f t="shared" si="1"/>
        <v>32000000</v>
      </c>
      <c r="L32">
        <v>1</v>
      </c>
      <c r="M32">
        <v>1</v>
      </c>
    </row>
    <row r="33" spans="1:13" x14ac:dyDescent="0.25">
      <c r="A33" t="s">
        <v>184</v>
      </c>
      <c r="B33" t="s">
        <v>102</v>
      </c>
      <c r="C33">
        <v>0</v>
      </c>
      <c r="D33">
        <v>70</v>
      </c>
      <c r="E33">
        <v>45</v>
      </c>
      <c r="F33">
        <f t="shared" si="0"/>
        <v>3150</v>
      </c>
      <c r="G33">
        <v>9</v>
      </c>
      <c r="H33" s="3">
        <v>32</v>
      </c>
      <c r="I33" s="3">
        <v>2188</v>
      </c>
      <c r="L33">
        <v>1</v>
      </c>
      <c r="M33">
        <v>1</v>
      </c>
    </row>
    <row r="34" spans="1:13" x14ac:dyDescent="0.25">
      <c r="A34" t="s">
        <v>185</v>
      </c>
      <c r="B34" t="s">
        <v>102</v>
      </c>
      <c r="C34">
        <v>0</v>
      </c>
      <c r="D34">
        <v>85</v>
      </c>
      <c r="E34">
        <v>56</v>
      </c>
      <c r="F34">
        <f t="shared" si="0"/>
        <v>4760</v>
      </c>
      <c r="G34">
        <v>5</v>
      </c>
      <c r="H34" s="3">
        <v>32</v>
      </c>
      <c r="I34" s="3">
        <v>2400</v>
      </c>
      <c r="L34">
        <v>1</v>
      </c>
      <c r="M34">
        <v>1</v>
      </c>
    </row>
    <row r="35" spans="1:13" x14ac:dyDescent="0.25">
      <c r="A35" t="s">
        <v>186</v>
      </c>
      <c r="B35" t="s">
        <v>102</v>
      </c>
      <c r="C35">
        <v>0</v>
      </c>
      <c r="D35">
        <v>98</v>
      </c>
      <c r="E35">
        <v>74</v>
      </c>
      <c r="F35">
        <f t="shared" si="0"/>
        <v>7252</v>
      </c>
      <c r="G35">
        <v>5</v>
      </c>
      <c r="H35" s="3">
        <v>32</v>
      </c>
      <c r="I35" s="3">
        <v>1400</v>
      </c>
      <c r="L35">
        <v>1</v>
      </c>
      <c r="M35">
        <v>1</v>
      </c>
    </row>
    <row r="36" spans="1:13" x14ac:dyDescent="0.25">
      <c r="A36" t="s">
        <v>65</v>
      </c>
      <c r="B36" t="s">
        <v>102</v>
      </c>
      <c r="C36">
        <v>0</v>
      </c>
      <c r="D36">
        <v>16</v>
      </c>
      <c r="E36">
        <v>16</v>
      </c>
      <c r="F36">
        <f t="shared" si="0"/>
        <v>256</v>
      </c>
      <c r="G36">
        <v>3.6</v>
      </c>
      <c r="H36" s="3">
        <v>32</v>
      </c>
      <c r="I36" s="3">
        <v>400</v>
      </c>
      <c r="J36">
        <f t="shared" si="1"/>
        <v>12800</v>
      </c>
      <c r="K36">
        <f t="shared" si="1"/>
        <v>5120000</v>
      </c>
      <c r="L36">
        <v>1</v>
      </c>
      <c r="M36">
        <v>1</v>
      </c>
    </row>
    <row r="37" spans="1:13" s="4" customFormat="1" x14ac:dyDescent="0.25">
      <c r="A37" s="4" t="s">
        <v>2</v>
      </c>
      <c r="B37" s="4" t="s">
        <v>103</v>
      </c>
      <c r="C37" s="4">
        <v>1</v>
      </c>
      <c r="D37" s="4">
        <v>16.8</v>
      </c>
      <c r="E37" s="4">
        <v>12.7</v>
      </c>
      <c r="F37" s="4">
        <f t="shared" ref="F37:F64" si="2">D37*E37</f>
        <v>213.35999999999999</v>
      </c>
      <c r="G37" s="4">
        <v>24</v>
      </c>
      <c r="H37" s="5"/>
      <c r="I37" s="5"/>
      <c r="J37" s="4">
        <v>3.2000000000000001E-2</v>
      </c>
      <c r="K37" s="4">
        <v>3.2000000000000001E-2</v>
      </c>
      <c r="L37">
        <v>0.23100000000000001</v>
      </c>
      <c r="M37">
        <v>5120000</v>
      </c>
    </row>
    <row r="38" spans="1:13" x14ac:dyDescent="0.25">
      <c r="A38" t="s">
        <v>4</v>
      </c>
      <c r="B38" t="s">
        <v>134</v>
      </c>
      <c r="C38">
        <v>1</v>
      </c>
      <c r="D38">
        <v>3.1</v>
      </c>
      <c r="E38">
        <v>3.1</v>
      </c>
      <c r="F38">
        <f t="shared" si="2"/>
        <v>9.6100000000000012</v>
      </c>
      <c r="G38">
        <v>3.6</v>
      </c>
      <c r="H38" s="3" t="s">
        <v>146</v>
      </c>
      <c r="I38" s="3" t="s">
        <v>135</v>
      </c>
      <c r="J38">
        <v>0.58079999999999998</v>
      </c>
      <c r="K38">
        <v>0.58079999999999998</v>
      </c>
      <c r="L38">
        <v>1.1520000000000001E-2</v>
      </c>
      <c r="M38">
        <v>5120000</v>
      </c>
    </row>
    <row r="39" spans="1:13" s="4" customFormat="1" x14ac:dyDescent="0.25">
      <c r="A39" s="4" t="s">
        <v>5</v>
      </c>
      <c r="B39" s="4" t="s">
        <v>98</v>
      </c>
      <c r="C39" s="4">
        <v>3</v>
      </c>
      <c r="D39" s="4">
        <v>1</v>
      </c>
      <c r="E39" s="4">
        <v>1</v>
      </c>
      <c r="F39" s="4">
        <f t="shared" si="2"/>
        <v>1</v>
      </c>
      <c r="G39" s="4">
        <v>5.5</v>
      </c>
      <c r="H39" s="5"/>
      <c r="I39" s="5"/>
      <c r="J39" s="4">
        <v>1</v>
      </c>
      <c r="K39" s="4">
        <v>0</v>
      </c>
      <c r="L39">
        <v>1</v>
      </c>
      <c r="M39">
        <v>1</v>
      </c>
    </row>
    <row r="40" spans="1:13" x14ac:dyDescent="0.25">
      <c r="A40" t="s">
        <v>6</v>
      </c>
      <c r="B40" t="s">
        <v>99</v>
      </c>
      <c r="C40">
        <v>3</v>
      </c>
      <c r="D40">
        <v>60</v>
      </c>
      <c r="E40">
        <v>60</v>
      </c>
      <c r="F40">
        <f t="shared" si="2"/>
        <v>3600</v>
      </c>
      <c r="G40">
        <v>12</v>
      </c>
      <c r="H40" s="3" t="s">
        <v>136</v>
      </c>
      <c r="I40" s="3" t="s">
        <v>137</v>
      </c>
      <c r="J40">
        <v>2.0735999999999999</v>
      </c>
      <c r="K40">
        <v>2.0735999999999999</v>
      </c>
      <c r="L40">
        <v>1</v>
      </c>
      <c r="M40">
        <v>1</v>
      </c>
    </row>
    <row r="41" spans="1:13" s="4" customFormat="1" x14ac:dyDescent="0.25">
      <c r="A41" s="4" t="s">
        <v>7</v>
      </c>
      <c r="B41" s="4" t="s">
        <v>107</v>
      </c>
      <c r="C41" s="4">
        <v>3</v>
      </c>
      <c r="D41" s="4">
        <v>197</v>
      </c>
      <c r="E41" s="4">
        <v>14</v>
      </c>
      <c r="F41" s="4">
        <f t="shared" si="2"/>
        <v>2758</v>
      </c>
      <c r="G41" s="4">
        <v>0</v>
      </c>
      <c r="H41" s="5"/>
      <c r="I41" s="5"/>
      <c r="J41" s="4">
        <v>1.6E-2</v>
      </c>
      <c r="K41" s="4">
        <v>1.6E-2</v>
      </c>
      <c r="L41">
        <v>1</v>
      </c>
      <c r="M41">
        <v>1</v>
      </c>
    </row>
    <row r="42" spans="1:13" s="4" customFormat="1" x14ac:dyDescent="0.25">
      <c r="A42" s="4" t="s">
        <v>8</v>
      </c>
      <c r="B42" s="4" t="s">
        <v>105</v>
      </c>
      <c r="C42" s="4">
        <v>3</v>
      </c>
      <c r="D42" s="4">
        <v>500</v>
      </c>
      <c r="E42" s="4">
        <v>600</v>
      </c>
      <c r="F42" s="4">
        <f t="shared" si="2"/>
        <v>300000</v>
      </c>
      <c r="G42" s="4">
        <v>30</v>
      </c>
      <c r="H42" s="5"/>
      <c r="I42" s="5"/>
      <c r="J42" s="4">
        <v>3.2000000000000001E-2</v>
      </c>
      <c r="K42" s="4">
        <v>3.2000000000000001E-2</v>
      </c>
      <c r="L42">
        <v>1</v>
      </c>
      <c r="M42">
        <v>1</v>
      </c>
    </row>
    <row r="43" spans="1:13" s="9" customFormat="1" x14ac:dyDescent="0.25">
      <c r="A43" s="9" t="s">
        <v>10</v>
      </c>
      <c r="B43" s="9" t="s">
        <v>104</v>
      </c>
      <c r="C43" s="9">
        <v>1</v>
      </c>
      <c r="D43" s="9">
        <v>15</v>
      </c>
      <c r="E43" s="9">
        <v>45</v>
      </c>
      <c r="F43" s="9">
        <f t="shared" si="2"/>
        <v>675</v>
      </c>
      <c r="G43" s="9">
        <v>12</v>
      </c>
      <c r="H43" s="10"/>
      <c r="I43" s="10"/>
      <c r="J43" s="9">
        <v>3.2000000000000001E-2</v>
      </c>
      <c r="K43" s="9">
        <v>3.2000000000000001E-2</v>
      </c>
      <c r="L43">
        <v>1</v>
      </c>
      <c r="M43">
        <v>1</v>
      </c>
    </row>
    <row r="44" spans="1:13" x14ac:dyDescent="0.25">
      <c r="A44" t="s">
        <v>11</v>
      </c>
      <c r="B44" t="s">
        <v>134</v>
      </c>
      <c r="C44">
        <v>1</v>
      </c>
      <c r="D44">
        <v>12.1</v>
      </c>
      <c r="E44">
        <v>12.1</v>
      </c>
      <c r="F44">
        <f t="shared" si="2"/>
        <v>146.41</v>
      </c>
      <c r="G44">
        <v>3.6</v>
      </c>
      <c r="H44" s="3" t="s">
        <v>145</v>
      </c>
      <c r="I44" s="3">
        <v>1E-4</v>
      </c>
      <c r="J44">
        <v>1.44E-2</v>
      </c>
      <c r="K44">
        <v>1.44E-2</v>
      </c>
      <c r="L44">
        <v>0.1</v>
      </c>
      <c r="M44">
        <v>5120000</v>
      </c>
    </row>
    <row r="45" spans="1:13" x14ac:dyDescent="0.25">
      <c r="A45" t="s">
        <v>12</v>
      </c>
      <c r="B45" t="s">
        <v>111</v>
      </c>
      <c r="C45">
        <v>1</v>
      </c>
      <c r="D45">
        <v>31.5</v>
      </c>
      <c r="E45">
        <v>28</v>
      </c>
      <c r="F45">
        <f t="shared" si="2"/>
        <v>882</v>
      </c>
      <c r="G45">
        <v>5</v>
      </c>
      <c r="H45" s="3" t="s">
        <v>145</v>
      </c>
      <c r="I45" s="3">
        <v>2E-3</v>
      </c>
      <c r="J45">
        <v>0.28799999999999998</v>
      </c>
      <c r="K45">
        <v>0.28799999999999998</v>
      </c>
      <c r="L45">
        <v>0.06</v>
      </c>
      <c r="M45">
        <v>1280000</v>
      </c>
    </row>
    <row r="46" spans="1:13" x14ac:dyDescent="0.25">
      <c r="A46" t="s">
        <v>13</v>
      </c>
      <c r="B46" t="s">
        <v>111</v>
      </c>
      <c r="C46">
        <v>1</v>
      </c>
      <c r="D46">
        <v>315</v>
      </c>
      <c r="E46">
        <v>28</v>
      </c>
      <c r="F46">
        <f t="shared" si="2"/>
        <v>8820</v>
      </c>
      <c r="G46">
        <v>5</v>
      </c>
      <c r="H46" s="3" t="s">
        <v>145</v>
      </c>
      <c r="I46" s="3">
        <v>2E-3</v>
      </c>
      <c r="J46">
        <v>0.28799999999999998</v>
      </c>
      <c r="K46">
        <v>0.28799999999999998</v>
      </c>
      <c r="L46">
        <v>0.06</v>
      </c>
      <c r="M46">
        <v>1280000</v>
      </c>
    </row>
    <row r="47" spans="1:13" x14ac:dyDescent="0.25">
      <c r="A47" t="s">
        <v>14</v>
      </c>
      <c r="B47" t="s">
        <v>111</v>
      </c>
      <c r="C47">
        <v>1</v>
      </c>
      <c r="D47">
        <v>57</v>
      </c>
      <c r="E47">
        <v>41.9</v>
      </c>
      <c r="F47">
        <f t="shared" si="2"/>
        <v>2388.2999999999997</v>
      </c>
      <c r="G47">
        <v>3.3</v>
      </c>
      <c r="H47" s="3" t="s">
        <v>145</v>
      </c>
      <c r="I47" s="3">
        <v>2E-3</v>
      </c>
      <c r="J47">
        <v>0.28799999999999998</v>
      </c>
      <c r="K47">
        <v>0.28799999999999998</v>
      </c>
      <c r="L47">
        <v>0.52</v>
      </c>
      <c r="M47">
        <v>1280000</v>
      </c>
    </row>
    <row r="48" spans="1:13" s="4" customFormat="1" x14ac:dyDescent="0.25">
      <c r="A48" s="4" t="s">
        <v>17</v>
      </c>
      <c r="B48" s="4" t="s">
        <v>100</v>
      </c>
      <c r="C48" s="4">
        <v>3</v>
      </c>
      <c r="D48" s="4">
        <v>5</v>
      </c>
      <c r="E48" s="4">
        <v>20.7</v>
      </c>
      <c r="F48" s="4">
        <f t="shared" si="2"/>
        <v>103.5</v>
      </c>
      <c r="G48" s="4">
        <v>3.3</v>
      </c>
      <c r="H48" s="5"/>
      <c r="I48" s="5"/>
      <c r="J48" s="4">
        <v>6.4000000000000001E-2</v>
      </c>
      <c r="K48" s="4">
        <v>6.4000000000000001E-2</v>
      </c>
      <c r="L48">
        <v>1</v>
      </c>
      <c r="M48">
        <v>1</v>
      </c>
    </row>
    <row r="49" spans="1:13" s="4" customFormat="1" x14ac:dyDescent="0.25">
      <c r="A49" s="4" t="s">
        <v>18</v>
      </c>
      <c r="B49" s="4" t="s">
        <v>108</v>
      </c>
      <c r="C49" s="4">
        <v>3</v>
      </c>
      <c r="D49" s="4">
        <v>20</v>
      </c>
      <c r="E49" s="4">
        <v>20</v>
      </c>
      <c r="F49" s="4">
        <f t="shared" si="2"/>
        <v>400</v>
      </c>
      <c r="G49" s="4">
        <v>10</v>
      </c>
      <c r="H49" s="5"/>
      <c r="I49" s="5"/>
      <c r="J49" s="4">
        <v>1.6E-2</v>
      </c>
      <c r="K49" s="4">
        <v>1.6E-2</v>
      </c>
      <c r="L49">
        <v>1</v>
      </c>
      <c r="M49">
        <v>1</v>
      </c>
    </row>
    <row r="50" spans="1:13" x14ac:dyDescent="0.25">
      <c r="A50" t="s">
        <v>19</v>
      </c>
      <c r="B50" t="s">
        <v>138</v>
      </c>
      <c r="C50">
        <v>1</v>
      </c>
      <c r="D50">
        <v>2</v>
      </c>
      <c r="E50">
        <v>2.5</v>
      </c>
      <c r="F50">
        <f t="shared" si="2"/>
        <v>5</v>
      </c>
      <c r="G50">
        <v>1.8</v>
      </c>
      <c r="H50" s="3" t="s">
        <v>149</v>
      </c>
      <c r="I50" s="3" t="s">
        <v>139</v>
      </c>
      <c r="J50">
        <v>7.5360000000000002E-3</v>
      </c>
      <c r="K50">
        <v>7.5360000000000002E-3</v>
      </c>
      <c r="L50">
        <v>5.04E-6</v>
      </c>
      <c r="M50">
        <v>3080000</v>
      </c>
    </row>
    <row r="51" spans="1:13" x14ac:dyDescent="0.25">
      <c r="A51" t="s">
        <v>20</v>
      </c>
      <c r="B51" t="s">
        <v>138</v>
      </c>
      <c r="C51">
        <v>1</v>
      </c>
      <c r="D51">
        <v>2.5</v>
      </c>
      <c r="E51">
        <v>2.5</v>
      </c>
      <c r="F51">
        <f t="shared" si="2"/>
        <v>6.25</v>
      </c>
      <c r="G51">
        <v>1.7</v>
      </c>
      <c r="H51" s="3" t="s">
        <v>141</v>
      </c>
      <c r="I51" s="3" t="s">
        <v>140</v>
      </c>
      <c r="J51">
        <v>1E-3</v>
      </c>
      <c r="K51">
        <v>1E-3</v>
      </c>
      <c r="L51">
        <v>6.8000000000000001E-6</v>
      </c>
      <c r="M51">
        <v>20480000</v>
      </c>
    </row>
    <row r="52" spans="1:13" x14ac:dyDescent="0.25">
      <c r="A52" t="s">
        <v>21</v>
      </c>
      <c r="B52" t="s">
        <v>109</v>
      </c>
      <c r="C52">
        <v>1</v>
      </c>
      <c r="D52">
        <v>3</v>
      </c>
      <c r="E52">
        <v>3</v>
      </c>
      <c r="F52">
        <f t="shared" si="2"/>
        <v>9</v>
      </c>
      <c r="G52">
        <v>2.5</v>
      </c>
      <c r="H52" s="3" t="s">
        <v>148</v>
      </c>
      <c r="I52" s="3" t="s">
        <v>142</v>
      </c>
      <c r="J52">
        <v>7.6800000000000002E-3</v>
      </c>
      <c r="K52">
        <v>7.6800000000000002E-3</v>
      </c>
      <c r="L52">
        <v>2.5000000000000001E-4</v>
      </c>
      <c r="M52">
        <v>3200000</v>
      </c>
    </row>
    <row r="53" spans="1:13" x14ac:dyDescent="0.25">
      <c r="A53" t="s">
        <v>29</v>
      </c>
      <c r="B53" t="s">
        <v>104</v>
      </c>
      <c r="C53">
        <v>1</v>
      </c>
      <c r="D53">
        <v>2.5</v>
      </c>
      <c r="E53">
        <v>3</v>
      </c>
      <c r="F53">
        <f t="shared" si="2"/>
        <v>7.5</v>
      </c>
      <c r="G53">
        <v>3.6</v>
      </c>
      <c r="H53" s="3" t="s">
        <v>147</v>
      </c>
      <c r="I53" s="3" t="s">
        <v>144</v>
      </c>
      <c r="J53">
        <v>0.63970000000000005</v>
      </c>
      <c r="K53">
        <v>0.63970000000000005</v>
      </c>
      <c r="L53">
        <v>1.8E-3</v>
      </c>
      <c r="M53">
        <v>1230000</v>
      </c>
    </row>
    <row r="54" spans="1:13" x14ac:dyDescent="0.25">
      <c r="A54" t="s">
        <v>15</v>
      </c>
      <c r="B54" t="s">
        <v>103</v>
      </c>
      <c r="C54">
        <v>1</v>
      </c>
      <c r="D54">
        <v>3</v>
      </c>
      <c r="E54">
        <v>5</v>
      </c>
      <c r="F54">
        <f t="shared" si="2"/>
        <v>15</v>
      </c>
      <c r="G54">
        <v>3.6</v>
      </c>
      <c r="H54" s="3" t="s">
        <v>148</v>
      </c>
      <c r="I54" s="3" t="s">
        <v>150</v>
      </c>
      <c r="J54">
        <v>0.15359999999999999</v>
      </c>
      <c r="K54">
        <v>0.15359999999999999</v>
      </c>
      <c r="L54">
        <v>3.5E-4</v>
      </c>
      <c r="M54">
        <v>640000</v>
      </c>
    </row>
    <row r="55" spans="1:13" x14ac:dyDescent="0.25">
      <c r="A55" t="s">
        <v>30</v>
      </c>
      <c r="B55" t="s">
        <v>110</v>
      </c>
      <c r="C55">
        <v>1</v>
      </c>
      <c r="D55">
        <v>2.2999999999999998</v>
      </c>
      <c r="E55">
        <v>2.2999999999999998</v>
      </c>
      <c r="F55">
        <f t="shared" si="2"/>
        <v>5.2899999999999991</v>
      </c>
      <c r="G55">
        <v>1.98</v>
      </c>
      <c r="H55" s="3" t="s">
        <v>147</v>
      </c>
      <c r="I55" s="3" t="s">
        <v>151</v>
      </c>
      <c r="J55">
        <v>0.312</v>
      </c>
      <c r="K55">
        <v>0.312</v>
      </c>
      <c r="L55">
        <v>2.9159999999999999E-4</v>
      </c>
      <c r="M55">
        <v>1280000</v>
      </c>
    </row>
    <row r="56" spans="1:13" x14ac:dyDescent="0.25">
      <c r="A56" t="s">
        <v>31</v>
      </c>
      <c r="B56" t="s">
        <v>103</v>
      </c>
      <c r="C56">
        <v>1</v>
      </c>
      <c r="D56">
        <v>2</v>
      </c>
      <c r="E56">
        <v>2</v>
      </c>
      <c r="F56">
        <f t="shared" si="2"/>
        <v>4</v>
      </c>
      <c r="G56">
        <v>3.6</v>
      </c>
      <c r="H56" s="3" t="s">
        <v>148</v>
      </c>
      <c r="I56" s="3" t="s">
        <v>152</v>
      </c>
      <c r="J56">
        <v>4.7999999999999996E-3</v>
      </c>
      <c r="K56">
        <v>4.7999999999999996E-3</v>
      </c>
      <c r="L56">
        <v>1.95E-5</v>
      </c>
      <c r="M56">
        <v>5120000</v>
      </c>
    </row>
    <row r="57" spans="1:13" x14ac:dyDescent="0.25">
      <c r="A57" t="s">
        <v>32</v>
      </c>
      <c r="B57" t="s">
        <v>110</v>
      </c>
      <c r="C57">
        <v>1</v>
      </c>
      <c r="D57">
        <v>3</v>
      </c>
      <c r="E57">
        <v>3</v>
      </c>
      <c r="F57">
        <f t="shared" si="2"/>
        <v>9</v>
      </c>
      <c r="G57">
        <v>1.98</v>
      </c>
      <c r="H57" s="3" t="s">
        <v>147</v>
      </c>
      <c r="I57" s="3" t="s">
        <v>156</v>
      </c>
      <c r="J57">
        <v>0.314</v>
      </c>
      <c r="K57">
        <v>0.314</v>
      </c>
      <c r="L57">
        <v>3.2076000000000001E-4</v>
      </c>
      <c r="M57">
        <v>1280000</v>
      </c>
    </row>
    <row r="58" spans="1:13" x14ac:dyDescent="0.25">
      <c r="A58" t="s">
        <v>16</v>
      </c>
      <c r="B58" t="s">
        <v>106</v>
      </c>
      <c r="C58">
        <v>1</v>
      </c>
      <c r="D58">
        <v>13</v>
      </c>
      <c r="E58">
        <v>23</v>
      </c>
      <c r="F58">
        <f t="shared" si="2"/>
        <v>299</v>
      </c>
      <c r="G58">
        <v>3.6</v>
      </c>
      <c r="H58" s="3" t="s">
        <v>148</v>
      </c>
      <c r="I58" s="3" t="s">
        <v>155</v>
      </c>
      <c r="J58">
        <v>3.6400000000000002E-2</v>
      </c>
      <c r="K58">
        <v>3.6400000000000002E-2</v>
      </c>
      <c r="L58">
        <v>1.7999999999999999E-2</v>
      </c>
      <c r="M58">
        <v>1280000</v>
      </c>
    </row>
    <row r="59" spans="1:13" x14ac:dyDescent="0.25">
      <c r="A59" t="s">
        <v>34</v>
      </c>
      <c r="B59" t="s">
        <v>111</v>
      </c>
      <c r="C59">
        <v>1</v>
      </c>
      <c r="D59">
        <v>3.5</v>
      </c>
      <c r="E59">
        <v>3</v>
      </c>
      <c r="F59">
        <f t="shared" si="2"/>
        <v>10.5</v>
      </c>
      <c r="G59">
        <v>3.6</v>
      </c>
      <c r="H59" s="3" t="s">
        <v>153</v>
      </c>
      <c r="I59" s="3" t="s">
        <v>154</v>
      </c>
      <c r="J59">
        <v>9.5200000000000007E-2</v>
      </c>
      <c r="K59">
        <v>9.5200000000000007E-2</v>
      </c>
      <c r="L59">
        <v>1.44E-2</v>
      </c>
      <c r="M59">
        <v>1080000</v>
      </c>
    </row>
    <row r="60" spans="1:13" s="4" customFormat="1" x14ac:dyDescent="0.25">
      <c r="A60" s="4" t="s">
        <v>37</v>
      </c>
      <c r="B60" s="4" t="s">
        <v>112</v>
      </c>
      <c r="C60" s="4">
        <v>3</v>
      </c>
      <c r="D60" s="4">
        <v>4.9000000000000004</v>
      </c>
      <c r="E60" s="4">
        <v>3.9</v>
      </c>
      <c r="F60" s="4">
        <f t="shared" si="2"/>
        <v>19.11</v>
      </c>
      <c r="G60" s="4">
        <v>5.25</v>
      </c>
      <c r="H60" s="5"/>
      <c r="I60" s="5"/>
      <c r="J60" s="4">
        <v>1</v>
      </c>
      <c r="K60" s="4">
        <v>0</v>
      </c>
      <c r="L60">
        <v>1</v>
      </c>
      <c r="M60">
        <v>1</v>
      </c>
    </row>
    <row r="61" spans="1:13" x14ac:dyDescent="0.25">
      <c r="A61" t="s">
        <v>39</v>
      </c>
      <c r="B61" t="s">
        <v>111</v>
      </c>
      <c r="C61">
        <v>1</v>
      </c>
      <c r="D61">
        <v>4</v>
      </c>
      <c r="E61">
        <v>4</v>
      </c>
      <c r="F61">
        <f t="shared" si="2"/>
        <v>16</v>
      </c>
      <c r="G61">
        <v>3.6</v>
      </c>
      <c r="H61" s="3" t="s">
        <v>153</v>
      </c>
      <c r="I61" s="3" t="s">
        <v>157</v>
      </c>
      <c r="J61">
        <v>0.1181</v>
      </c>
      <c r="K61">
        <v>0.1181</v>
      </c>
      <c r="L61">
        <v>2.196E-2</v>
      </c>
      <c r="M61">
        <v>1350000</v>
      </c>
    </row>
    <row r="62" spans="1:13" x14ac:dyDescent="0.25">
      <c r="A62" t="s">
        <v>130</v>
      </c>
      <c r="B62" t="s">
        <v>113</v>
      </c>
      <c r="C62">
        <v>3</v>
      </c>
      <c r="D62">
        <v>45</v>
      </c>
      <c r="E62">
        <v>26</v>
      </c>
      <c r="F62">
        <f t="shared" si="2"/>
        <v>1170</v>
      </c>
      <c r="G62">
        <v>3.7</v>
      </c>
      <c r="H62" s="3" t="s">
        <v>153</v>
      </c>
      <c r="I62" s="3" t="s">
        <v>158</v>
      </c>
      <c r="J62">
        <v>1.3299999999999999E-2</v>
      </c>
      <c r="K62">
        <v>1.3299999999999999E-2</v>
      </c>
      <c r="L62">
        <v>1</v>
      </c>
      <c r="M62">
        <v>1</v>
      </c>
    </row>
    <row r="63" spans="1:13" s="9" customFormat="1" x14ac:dyDescent="0.25">
      <c r="A63" s="9" t="s">
        <v>42</v>
      </c>
      <c r="B63" s="9" t="s">
        <v>114</v>
      </c>
      <c r="C63" s="9">
        <v>3</v>
      </c>
      <c r="D63" s="9">
        <v>105</v>
      </c>
      <c r="E63" s="9">
        <v>170</v>
      </c>
      <c r="F63" s="9">
        <f t="shared" si="2"/>
        <v>17850</v>
      </c>
      <c r="G63" s="9">
        <v>21</v>
      </c>
      <c r="H63" s="10"/>
      <c r="I63" s="10"/>
      <c r="J63" s="9">
        <v>2.3999999999999998E-3</v>
      </c>
      <c r="K63" s="9">
        <v>2.3999999999999998E-3</v>
      </c>
      <c r="L63">
        <v>1</v>
      </c>
      <c r="M63">
        <v>1</v>
      </c>
    </row>
    <row r="64" spans="1:13" x14ac:dyDescent="0.25">
      <c r="A64" t="s">
        <v>43</v>
      </c>
      <c r="B64" t="s">
        <v>103</v>
      </c>
      <c r="C64">
        <v>1</v>
      </c>
      <c r="D64">
        <v>31.5</v>
      </c>
      <c r="E64">
        <v>21.5</v>
      </c>
      <c r="F64">
        <f t="shared" si="2"/>
        <v>677.25</v>
      </c>
      <c r="G64">
        <v>3.6</v>
      </c>
      <c r="H64" s="3" t="s">
        <v>148</v>
      </c>
      <c r="I64" s="3" t="s">
        <v>150</v>
      </c>
      <c r="J64">
        <v>0.15359999999999999</v>
      </c>
      <c r="K64">
        <v>0.15359999999999999</v>
      </c>
      <c r="L64">
        <v>0.59399999999999997</v>
      </c>
      <c r="M64">
        <v>5120000</v>
      </c>
    </row>
    <row r="65" spans="1:13" x14ac:dyDescent="0.25">
      <c r="A65" t="s">
        <v>44</v>
      </c>
      <c r="B65" t="s">
        <v>104</v>
      </c>
      <c r="C65">
        <v>1</v>
      </c>
      <c r="D65">
        <v>2.5</v>
      </c>
      <c r="E65">
        <v>3</v>
      </c>
      <c r="F65">
        <f t="shared" ref="F65:F95" si="3">D65*E65</f>
        <v>7.5</v>
      </c>
      <c r="G65">
        <v>3.6</v>
      </c>
      <c r="H65" s="3" t="s">
        <v>147</v>
      </c>
      <c r="I65" s="3" t="s">
        <v>159</v>
      </c>
      <c r="J65">
        <v>0.63939999999999997</v>
      </c>
      <c r="K65">
        <v>0.63939999999999997</v>
      </c>
      <c r="L65">
        <v>1.6199999999999999E-3</v>
      </c>
      <c r="M65">
        <v>1230000</v>
      </c>
    </row>
    <row r="66" spans="1:13" x14ac:dyDescent="0.25">
      <c r="A66" t="s">
        <v>73</v>
      </c>
      <c r="B66" t="s">
        <v>115</v>
      </c>
      <c r="C66">
        <v>1</v>
      </c>
      <c r="D66">
        <v>3</v>
      </c>
      <c r="E66">
        <v>3</v>
      </c>
      <c r="F66">
        <f t="shared" si="3"/>
        <v>9</v>
      </c>
      <c r="G66">
        <v>3</v>
      </c>
      <c r="H66" s="3">
        <v>16</v>
      </c>
      <c r="I66" s="3" t="s">
        <v>143</v>
      </c>
      <c r="J66">
        <v>3.2000000000000003E-4</v>
      </c>
      <c r="K66">
        <v>3.2000000000000003E-4</v>
      </c>
      <c r="L66">
        <v>1</v>
      </c>
      <c r="M66">
        <v>1</v>
      </c>
    </row>
    <row r="67" spans="1:13" x14ac:dyDescent="0.25">
      <c r="A67" t="s">
        <v>74</v>
      </c>
      <c r="B67" t="s">
        <v>115</v>
      </c>
      <c r="C67">
        <v>1</v>
      </c>
      <c r="D67">
        <v>3</v>
      </c>
      <c r="E67">
        <v>3</v>
      </c>
      <c r="F67">
        <f t="shared" si="3"/>
        <v>9</v>
      </c>
      <c r="G67">
        <v>3.6</v>
      </c>
      <c r="H67" s="3">
        <v>16</v>
      </c>
      <c r="I67" s="3" t="s">
        <v>160</v>
      </c>
      <c r="J67">
        <v>1.48E-3</v>
      </c>
      <c r="K67">
        <v>1.48E-3</v>
      </c>
      <c r="L67">
        <v>3.2400000000000001E-4</v>
      </c>
      <c r="M67">
        <v>1280000</v>
      </c>
    </row>
    <row r="68" spans="1:13" s="4" customFormat="1" x14ac:dyDescent="0.25">
      <c r="A68" s="4" t="s">
        <v>75</v>
      </c>
      <c r="B68" s="4" t="s">
        <v>115</v>
      </c>
      <c r="C68" s="4">
        <v>3</v>
      </c>
      <c r="D68" s="4">
        <v>0.88</v>
      </c>
      <c r="E68" s="4">
        <v>0.88</v>
      </c>
      <c r="F68" s="4">
        <f t="shared" si="3"/>
        <v>0.77439999999999998</v>
      </c>
      <c r="G68" s="4">
        <v>5.5</v>
      </c>
      <c r="H68" s="5"/>
      <c r="I68" s="5"/>
      <c r="J68" s="4">
        <v>1.6E-2</v>
      </c>
      <c r="K68" s="4">
        <v>1.6E-2</v>
      </c>
      <c r="L68">
        <v>1</v>
      </c>
      <c r="M68">
        <v>1</v>
      </c>
    </row>
    <row r="69" spans="1:13" x14ac:dyDescent="0.25">
      <c r="A69" t="s">
        <v>76</v>
      </c>
      <c r="B69" t="s">
        <v>115</v>
      </c>
      <c r="C69">
        <v>1</v>
      </c>
      <c r="D69">
        <v>2</v>
      </c>
      <c r="E69">
        <v>2</v>
      </c>
      <c r="F69">
        <f t="shared" si="3"/>
        <v>4</v>
      </c>
      <c r="G69">
        <v>5.5</v>
      </c>
      <c r="H69" s="3">
        <v>16</v>
      </c>
      <c r="I69" s="3" t="s">
        <v>161</v>
      </c>
      <c r="J69">
        <v>1.5999999999999999E-5</v>
      </c>
      <c r="K69">
        <v>1.5999999999999999E-5</v>
      </c>
      <c r="L69">
        <v>1.925E-5</v>
      </c>
      <c r="M69">
        <v>512000000</v>
      </c>
    </row>
    <row r="70" spans="1:13" x14ac:dyDescent="0.25">
      <c r="A70" t="s">
        <v>77</v>
      </c>
      <c r="B70" t="s">
        <v>116</v>
      </c>
      <c r="C70">
        <v>1</v>
      </c>
      <c r="D70">
        <v>5.6</v>
      </c>
      <c r="E70">
        <v>3.3</v>
      </c>
      <c r="F70">
        <f t="shared" si="3"/>
        <v>18.479999999999997</v>
      </c>
      <c r="G70">
        <v>1.8</v>
      </c>
      <c r="H70" s="3" t="s">
        <v>162</v>
      </c>
      <c r="I70" s="3" t="s">
        <v>150</v>
      </c>
      <c r="J70">
        <v>0.1152</v>
      </c>
      <c r="K70">
        <v>0.1152</v>
      </c>
      <c r="L70">
        <v>2.16E-3</v>
      </c>
      <c r="M70">
        <v>1280000</v>
      </c>
    </row>
    <row r="71" spans="1:13" s="4" customFormat="1" x14ac:dyDescent="0.25">
      <c r="A71" s="4" t="s">
        <v>78</v>
      </c>
      <c r="B71" s="4" t="s">
        <v>117</v>
      </c>
      <c r="C71" s="4">
        <v>3</v>
      </c>
      <c r="D71" s="4">
        <v>4</v>
      </c>
      <c r="E71" s="4">
        <v>4</v>
      </c>
      <c r="F71" s="4">
        <f t="shared" si="3"/>
        <v>16</v>
      </c>
      <c r="G71" s="4">
        <v>3.5</v>
      </c>
      <c r="H71" s="5"/>
      <c r="I71" s="5"/>
      <c r="J71" s="4">
        <v>1.6E-2</v>
      </c>
      <c r="K71" s="4">
        <v>1.6E-2</v>
      </c>
      <c r="L71">
        <v>1</v>
      </c>
      <c r="M71">
        <v>1</v>
      </c>
    </row>
    <row r="72" spans="1:13" x14ac:dyDescent="0.25">
      <c r="A72" t="s">
        <v>79</v>
      </c>
      <c r="B72" t="s">
        <v>116</v>
      </c>
      <c r="C72">
        <v>3</v>
      </c>
      <c r="D72">
        <v>5.6</v>
      </c>
      <c r="E72">
        <v>2.8</v>
      </c>
      <c r="F72">
        <f t="shared" si="3"/>
        <v>15.679999999999998</v>
      </c>
      <c r="G72">
        <v>1.8</v>
      </c>
      <c r="H72" s="3" t="s">
        <v>163</v>
      </c>
      <c r="I72" s="3" t="s">
        <v>164</v>
      </c>
      <c r="J72">
        <v>3.2000000000000001E-2</v>
      </c>
      <c r="K72">
        <v>3.2000000000000001E-2</v>
      </c>
      <c r="L72">
        <v>1</v>
      </c>
      <c r="M72">
        <v>1</v>
      </c>
    </row>
    <row r="73" spans="1:13" s="4" customFormat="1" x14ac:dyDescent="0.25">
      <c r="A73" s="4" t="s">
        <v>80</v>
      </c>
      <c r="B73" s="4" t="s">
        <v>112</v>
      </c>
      <c r="C73" s="4">
        <v>3</v>
      </c>
      <c r="D73" s="4">
        <v>3</v>
      </c>
      <c r="E73" s="4">
        <v>3</v>
      </c>
      <c r="F73" s="4">
        <f t="shared" si="3"/>
        <v>9</v>
      </c>
      <c r="G73" s="4">
        <v>5.5</v>
      </c>
      <c r="H73" s="5"/>
      <c r="I73" s="5"/>
      <c r="J73" s="4">
        <v>1.536</v>
      </c>
      <c r="K73" s="4">
        <v>1.536</v>
      </c>
      <c r="L73">
        <v>1</v>
      </c>
      <c r="M73">
        <v>1</v>
      </c>
    </row>
    <row r="74" spans="1:13" x14ac:dyDescent="0.25">
      <c r="A74" t="s">
        <v>81</v>
      </c>
      <c r="B74" t="s">
        <v>118</v>
      </c>
      <c r="C74">
        <v>3</v>
      </c>
      <c r="D74">
        <v>3.5</v>
      </c>
      <c r="E74">
        <v>2.65</v>
      </c>
      <c r="F74">
        <f t="shared" si="3"/>
        <v>9.2750000000000004</v>
      </c>
      <c r="G74">
        <v>3.6</v>
      </c>
      <c r="H74" s="3">
        <v>24</v>
      </c>
      <c r="I74" s="3" t="s">
        <v>165</v>
      </c>
      <c r="J74">
        <v>1.536</v>
      </c>
      <c r="K74">
        <v>1.536</v>
      </c>
      <c r="L74">
        <v>1</v>
      </c>
      <c r="M74">
        <v>1</v>
      </c>
    </row>
    <row r="75" spans="1:13" x14ac:dyDescent="0.25">
      <c r="A75" s="2" t="s">
        <v>119</v>
      </c>
      <c r="B75" t="s">
        <v>118</v>
      </c>
      <c r="C75">
        <v>3</v>
      </c>
      <c r="D75">
        <v>4</v>
      </c>
      <c r="E75">
        <v>3</v>
      </c>
      <c r="F75">
        <f t="shared" si="3"/>
        <v>12</v>
      </c>
      <c r="G75">
        <v>3.6</v>
      </c>
      <c r="H75" s="3">
        <v>24</v>
      </c>
      <c r="I75" s="3" t="s">
        <v>166</v>
      </c>
      <c r="J75">
        <v>1.1519999999999999</v>
      </c>
      <c r="K75">
        <v>1.1519999999999999</v>
      </c>
      <c r="L75">
        <v>1</v>
      </c>
      <c r="M75">
        <v>1</v>
      </c>
    </row>
    <row r="76" spans="1:13" s="4" customFormat="1" x14ac:dyDescent="0.25">
      <c r="A76" s="4" t="s">
        <v>82</v>
      </c>
      <c r="B76" s="4" t="s">
        <v>118</v>
      </c>
      <c r="C76" s="4">
        <v>3</v>
      </c>
      <c r="D76" s="4">
        <v>4.72</v>
      </c>
      <c r="E76" s="4">
        <v>3.76</v>
      </c>
      <c r="F76" s="4">
        <f t="shared" si="3"/>
        <v>17.747199999999999</v>
      </c>
      <c r="G76" s="4">
        <v>3.3</v>
      </c>
      <c r="H76" s="5"/>
      <c r="I76" s="5" t="s">
        <v>167</v>
      </c>
      <c r="J76" s="4">
        <v>1.1519999999999999</v>
      </c>
      <c r="K76" s="4">
        <v>1.1519999999999999</v>
      </c>
      <c r="L76">
        <v>1</v>
      </c>
      <c r="M76">
        <v>1</v>
      </c>
    </row>
    <row r="77" spans="1:13" x14ac:dyDescent="0.25">
      <c r="A77" t="s">
        <v>83</v>
      </c>
      <c r="B77" t="s">
        <v>118</v>
      </c>
      <c r="C77">
        <v>3</v>
      </c>
      <c r="D77">
        <v>3</v>
      </c>
      <c r="E77">
        <v>4</v>
      </c>
      <c r="F77">
        <f>D77*E77</f>
        <v>12</v>
      </c>
      <c r="G77">
        <v>3.6</v>
      </c>
      <c r="H77" s="3">
        <v>1</v>
      </c>
      <c r="I77" s="3">
        <v>3.25</v>
      </c>
      <c r="J77">
        <v>3.25</v>
      </c>
      <c r="K77">
        <v>3.25</v>
      </c>
      <c r="L77">
        <v>1</v>
      </c>
      <c r="M77">
        <v>1</v>
      </c>
    </row>
    <row r="78" spans="1:13" x14ac:dyDescent="0.25">
      <c r="A78" t="s">
        <v>84</v>
      </c>
      <c r="B78" t="s">
        <v>118</v>
      </c>
      <c r="C78">
        <v>3</v>
      </c>
      <c r="D78">
        <v>4</v>
      </c>
      <c r="E78">
        <v>3</v>
      </c>
      <c r="F78">
        <f t="shared" si="3"/>
        <v>12</v>
      </c>
      <c r="G78">
        <v>3.6</v>
      </c>
      <c r="H78" s="3">
        <v>1</v>
      </c>
      <c r="I78" s="3">
        <v>3.3</v>
      </c>
      <c r="J78">
        <v>3.3</v>
      </c>
      <c r="K78">
        <v>3.3</v>
      </c>
      <c r="L78">
        <v>1</v>
      </c>
      <c r="M78">
        <v>1</v>
      </c>
    </row>
    <row r="79" spans="1:13" x14ac:dyDescent="0.25">
      <c r="A79" t="s">
        <v>85</v>
      </c>
      <c r="B79" t="s">
        <v>120</v>
      </c>
      <c r="C79">
        <v>3</v>
      </c>
      <c r="D79">
        <v>4</v>
      </c>
      <c r="E79">
        <v>4</v>
      </c>
      <c r="F79">
        <f t="shared" si="3"/>
        <v>16</v>
      </c>
      <c r="G79">
        <v>3.3</v>
      </c>
      <c r="H79" s="3" t="s">
        <v>169</v>
      </c>
      <c r="I79" s="3" t="s">
        <v>168</v>
      </c>
      <c r="J79">
        <v>98.3</v>
      </c>
      <c r="K79">
        <v>98.3</v>
      </c>
      <c r="L79">
        <v>1</v>
      </c>
      <c r="M79">
        <v>1</v>
      </c>
    </row>
    <row r="80" spans="1:13" x14ac:dyDescent="0.25">
      <c r="A80" t="s">
        <v>86</v>
      </c>
      <c r="B80" t="s">
        <v>120</v>
      </c>
      <c r="C80">
        <v>3</v>
      </c>
      <c r="D80">
        <v>1.56</v>
      </c>
      <c r="E80">
        <v>0.76</v>
      </c>
      <c r="F80">
        <f t="shared" si="3"/>
        <v>1.1856</v>
      </c>
      <c r="G80">
        <v>3.6</v>
      </c>
      <c r="H80" s="3" t="s">
        <v>149</v>
      </c>
      <c r="I80" s="3" t="s">
        <v>170</v>
      </c>
      <c r="J80">
        <v>5.1840000000000002</v>
      </c>
      <c r="K80">
        <v>5.1840000000000002</v>
      </c>
      <c r="L80">
        <v>1</v>
      </c>
      <c r="M80">
        <v>1</v>
      </c>
    </row>
    <row r="81" spans="1:13" x14ac:dyDescent="0.25">
      <c r="A81" t="s">
        <v>9</v>
      </c>
      <c r="B81" t="s">
        <v>121</v>
      </c>
      <c r="C81">
        <v>2</v>
      </c>
      <c r="D81">
        <v>38</v>
      </c>
      <c r="E81">
        <v>165</v>
      </c>
      <c r="F81">
        <f t="shared" si="3"/>
        <v>6270</v>
      </c>
      <c r="G81">
        <v>11</v>
      </c>
      <c r="H81" s="3">
        <v>16</v>
      </c>
      <c r="I81" s="7" t="s">
        <v>172</v>
      </c>
      <c r="J81">
        <v>4</v>
      </c>
      <c r="K81">
        <v>4</v>
      </c>
      <c r="L81">
        <v>20</v>
      </c>
      <c r="M81">
        <v>332.8</v>
      </c>
    </row>
    <row r="82" spans="1:13" x14ac:dyDescent="0.25">
      <c r="A82" t="s">
        <v>38</v>
      </c>
      <c r="B82" t="s">
        <v>121</v>
      </c>
      <c r="C82">
        <v>2</v>
      </c>
      <c r="D82">
        <v>85.1</v>
      </c>
      <c r="E82">
        <v>63.5</v>
      </c>
      <c r="F82">
        <f t="shared" si="3"/>
        <v>5403.8499999999995</v>
      </c>
      <c r="G82">
        <v>5</v>
      </c>
      <c r="H82" s="3">
        <v>14</v>
      </c>
      <c r="I82" s="8" t="s">
        <v>171</v>
      </c>
      <c r="J82">
        <v>0.67200000000000004</v>
      </c>
      <c r="K82">
        <v>0.67200000000000004</v>
      </c>
      <c r="L82">
        <v>0.5</v>
      </c>
      <c r="M82" s="11">
        <v>10667</v>
      </c>
    </row>
    <row r="83" spans="1:13" x14ac:dyDescent="0.25">
      <c r="A83" t="s">
        <v>41</v>
      </c>
      <c r="B83" t="s">
        <v>122</v>
      </c>
      <c r="C83">
        <v>2</v>
      </c>
      <c r="D83">
        <v>11.6</v>
      </c>
      <c r="E83">
        <v>13.5</v>
      </c>
      <c r="F83">
        <f t="shared" si="3"/>
        <v>156.6</v>
      </c>
      <c r="G83">
        <v>3.6</v>
      </c>
      <c r="J83">
        <v>1.5</v>
      </c>
      <c r="K83">
        <v>1.5</v>
      </c>
      <c r="L83">
        <v>8.2799999999999999E-2</v>
      </c>
      <c r="M83">
        <v>4437</v>
      </c>
    </row>
    <row r="84" spans="1:13" x14ac:dyDescent="0.25">
      <c r="A84" t="s">
        <v>66</v>
      </c>
      <c r="B84" t="s">
        <v>101</v>
      </c>
      <c r="C84">
        <v>2</v>
      </c>
      <c r="D84">
        <v>7</v>
      </c>
      <c r="E84">
        <v>7</v>
      </c>
      <c r="F84">
        <f t="shared" si="3"/>
        <v>49</v>
      </c>
      <c r="G84">
        <v>3.8</v>
      </c>
      <c r="H84" s="3">
        <v>32</v>
      </c>
      <c r="I84">
        <v>78</v>
      </c>
      <c r="J84" s="3">
        <v>2496</v>
      </c>
      <c r="K84" s="3" t="s">
        <v>173</v>
      </c>
      <c r="L84">
        <v>2.2419999999999999E-2</v>
      </c>
      <c r="M84">
        <v>3328</v>
      </c>
    </row>
    <row r="85" spans="1:13" x14ac:dyDescent="0.25">
      <c r="A85" t="s">
        <v>67</v>
      </c>
      <c r="B85" t="s">
        <v>123</v>
      </c>
      <c r="C85">
        <v>2</v>
      </c>
      <c r="D85">
        <v>7</v>
      </c>
      <c r="E85">
        <v>7</v>
      </c>
      <c r="F85">
        <f t="shared" si="3"/>
        <v>49</v>
      </c>
      <c r="G85">
        <v>3.8</v>
      </c>
      <c r="H85" s="3">
        <v>32</v>
      </c>
      <c r="I85" s="3">
        <v>48</v>
      </c>
      <c r="J85" s="3">
        <v>1536</v>
      </c>
      <c r="K85" s="3" t="s">
        <v>174</v>
      </c>
      <c r="L85">
        <v>2.8799999999999999E-2</v>
      </c>
      <c r="M85">
        <v>3328</v>
      </c>
    </row>
    <row r="86" spans="1:13" x14ac:dyDescent="0.25">
      <c r="A86" t="s">
        <v>68</v>
      </c>
      <c r="B86" t="s">
        <v>123</v>
      </c>
      <c r="C86">
        <v>2</v>
      </c>
      <c r="D86">
        <v>7</v>
      </c>
      <c r="E86">
        <v>7</v>
      </c>
      <c r="F86">
        <f t="shared" si="3"/>
        <v>49</v>
      </c>
      <c r="G86">
        <v>3.8</v>
      </c>
      <c r="H86" s="3">
        <v>32</v>
      </c>
      <c r="I86" s="3">
        <v>48</v>
      </c>
      <c r="J86" s="3">
        <v>1536</v>
      </c>
      <c r="K86" s="3" t="s">
        <v>175</v>
      </c>
      <c r="L86">
        <v>3.27E-2</v>
      </c>
      <c r="M86">
        <v>3328</v>
      </c>
    </row>
    <row r="87" spans="1:13" x14ac:dyDescent="0.25">
      <c r="A87" t="s">
        <v>69</v>
      </c>
      <c r="B87" t="s">
        <v>123</v>
      </c>
      <c r="C87">
        <v>2</v>
      </c>
      <c r="D87">
        <v>16.899999999999999</v>
      </c>
      <c r="E87">
        <v>11</v>
      </c>
      <c r="F87">
        <f t="shared" si="3"/>
        <v>185.89999999999998</v>
      </c>
      <c r="G87">
        <v>3.8</v>
      </c>
      <c r="H87" s="3">
        <v>32</v>
      </c>
      <c r="I87" s="3">
        <v>48</v>
      </c>
      <c r="J87" s="3">
        <v>1536</v>
      </c>
      <c r="K87" s="3" t="s">
        <v>176</v>
      </c>
      <c r="L87">
        <v>2.8199999999999999E-2</v>
      </c>
      <c r="M87">
        <v>6656</v>
      </c>
    </row>
    <row r="88" spans="1:13" x14ac:dyDescent="0.25">
      <c r="A88" t="s">
        <v>70</v>
      </c>
      <c r="B88" t="s">
        <v>126</v>
      </c>
      <c r="C88">
        <v>2</v>
      </c>
      <c r="D88">
        <v>7.3</v>
      </c>
      <c r="E88">
        <v>7.3</v>
      </c>
      <c r="F88">
        <f t="shared" si="3"/>
        <v>53.29</v>
      </c>
      <c r="G88">
        <v>3.8</v>
      </c>
      <c r="H88" s="3">
        <v>32</v>
      </c>
      <c r="I88" s="3">
        <v>48</v>
      </c>
      <c r="J88" s="3">
        <v>1536</v>
      </c>
      <c r="K88" s="3" t="s">
        <v>177</v>
      </c>
      <c r="L88">
        <v>4.8239999999999998E-2</v>
      </c>
      <c r="M88">
        <v>133120</v>
      </c>
    </row>
    <row r="89" spans="1:13" x14ac:dyDescent="0.25">
      <c r="A89" t="s">
        <v>71</v>
      </c>
      <c r="B89" t="s">
        <v>126</v>
      </c>
      <c r="C89">
        <v>2</v>
      </c>
      <c r="D89">
        <v>5.3</v>
      </c>
      <c r="E89">
        <v>5.3</v>
      </c>
      <c r="F89">
        <f t="shared" si="3"/>
        <v>28.09</v>
      </c>
      <c r="G89">
        <v>3.8</v>
      </c>
      <c r="H89" s="3">
        <v>32</v>
      </c>
      <c r="I89" s="3">
        <v>48</v>
      </c>
      <c r="J89" s="3">
        <v>1536</v>
      </c>
      <c r="K89" s="3" t="s">
        <v>177</v>
      </c>
      <c r="L89">
        <v>4.8239999999999998E-2</v>
      </c>
      <c r="M89">
        <v>133120</v>
      </c>
    </row>
    <row r="90" spans="1:13" x14ac:dyDescent="0.25">
      <c r="A90" t="s">
        <v>72</v>
      </c>
      <c r="B90" t="s">
        <v>124</v>
      </c>
      <c r="C90">
        <v>2</v>
      </c>
      <c r="D90">
        <v>6</v>
      </c>
      <c r="E90">
        <v>6</v>
      </c>
      <c r="F90">
        <f t="shared" si="3"/>
        <v>36</v>
      </c>
      <c r="G90">
        <v>3.6</v>
      </c>
      <c r="H90" s="3">
        <v>32</v>
      </c>
      <c r="I90" s="3">
        <v>240</v>
      </c>
      <c r="J90">
        <v>7680</v>
      </c>
      <c r="K90" t="s">
        <v>178</v>
      </c>
      <c r="L90">
        <v>0.66</v>
      </c>
      <c r="M90">
        <v>44.37</v>
      </c>
    </row>
    <row r="91" spans="1:13" x14ac:dyDescent="0.25">
      <c r="A91" t="s">
        <v>87</v>
      </c>
      <c r="B91" t="s">
        <v>122</v>
      </c>
      <c r="C91">
        <v>2</v>
      </c>
      <c r="D91">
        <v>27</v>
      </c>
      <c r="E91">
        <v>12.7</v>
      </c>
      <c r="F91">
        <f t="shared" si="3"/>
        <v>342.9</v>
      </c>
      <c r="G91">
        <v>3.6</v>
      </c>
      <c r="J91">
        <v>3</v>
      </c>
      <c r="K91">
        <v>3</v>
      </c>
      <c r="L91">
        <v>9.9000000000000005E-2</v>
      </c>
      <c r="M91">
        <v>2218</v>
      </c>
    </row>
    <row r="92" spans="1:13" x14ac:dyDescent="0.25">
      <c r="A92" t="s">
        <v>88</v>
      </c>
      <c r="B92" t="s">
        <v>122</v>
      </c>
      <c r="C92">
        <v>2</v>
      </c>
      <c r="D92">
        <v>25.8</v>
      </c>
      <c r="E92">
        <v>13.4</v>
      </c>
      <c r="F92">
        <f t="shared" si="3"/>
        <v>345.72</v>
      </c>
      <c r="G92">
        <v>3.6</v>
      </c>
      <c r="J92">
        <v>1.5</v>
      </c>
      <c r="K92">
        <v>1.5</v>
      </c>
      <c r="L92">
        <v>9.9000000000000005E-2</v>
      </c>
      <c r="M92">
        <v>22187</v>
      </c>
    </row>
    <row r="93" spans="1:13" x14ac:dyDescent="0.25">
      <c r="A93" t="s">
        <v>89</v>
      </c>
      <c r="B93" t="s">
        <v>122</v>
      </c>
      <c r="C93">
        <v>2</v>
      </c>
      <c r="D93">
        <v>5</v>
      </c>
      <c r="E93">
        <v>5</v>
      </c>
      <c r="F93">
        <f t="shared" si="3"/>
        <v>25</v>
      </c>
      <c r="G93">
        <v>3.6</v>
      </c>
      <c r="J93">
        <v>1</v>
      </c>
      <c r="K93">
        <v>1</v>
      </c>
      <c r="L93">
        <v>2.46E-2</v>
      </c>
      <c r="M93">
        <v>6656</v>
      </c>
    </row>
    <row r="94" spans="1:13" x14ac:dyDescent="0.25">
      <c r="A94" t="s">
        <v>90</v>
      </c>
      <c r="B94" t="s">
        <v>129</v>
      </c>
      <c r="C94">
        <v>2</v>
      </c>
      <c r="D94">
        <v>7</v>
      </c>
      <c r="E94">
        <v>7</v>
      </c>
      <c r="F94">
        <f t="shared" si="3"/>
        <v>49</v>
      </c>
      <c r="G94">
        <v>5.5</v>
      </c>
      <c r="H94" s="3">
        <v>32</v>
      </c>
      <c r="I94" s="3">
        <v>64</v>
      </c>
      <c r="J94">
        <v>2048</v>
      </c>
      <c r="K94" t="s">
        <v>179</v>
      </c>
      <c r="L94">
        <v>5.4100000000000002E-2</v>
      </c>
      <c r="M94">
        <v>3328</v>
      </c>
    </row>
    <row r="95" spans="1:13" x14ac:dyDescent="0.25">
      <c r="A95" t="s">
        <v>91</v>
      </c>
      <c r="B95" t="s">
        <v>122</v>
      </c>
      <c r="C95">
        <v>2</v>
      </c>
      <c r="D95">
        <v>38</v>
      </c>
      <c r="E95">
        <v>20</v>
      </c>
      <c r="F95">
        <f t="shared" si="3"/>
        <v>760</v>
      </c>
      <c r="G95">
        <v>3.3</v>
      </c>
      <c r="J95">
        <v>2</v>
      </c>
      <c r="K95">
        <v>2</v>
      </c>
      <c r="L95">
        <v>9.9000000000000005E-2</v>
      </c>
      <c r="M95">
        <v>22187</v>
      </c>
    </row>
    <row r="96" spans="1:13" x14ac:dyDescent="0.25">
      <c r="A96" t="s">
        <v>92</v>
      </c>
      <c r="B96" t="s">
        <v>127</v>
      </c>
      <c r="C96">
        <v>2</v>
      </c>
      <c r="D96">
        <v>3.8</v>
      </c>
      <c r="E96">
        <v>3.8</v>
      </c>
      <c r="F96">
        <f t="shared" ref="F96:F98" si="4">D96*E96</f>
        <v>14.44</v>
      </c>
      <c r="G96">
        <v>3.6</v>
      </c>
      <c r="H96" s="3">
        <v>32</v>
      </c>
      <c r="I96" s="3">
        <v>16</v>
      </c>
      <c r="J96">
        <v>512</v>
      </c>
      <c r="K96" t="s">
        <v>180</v>
      </c>
      <c r="L96">
        <v>2.8799999999999999E-2</v>
      </c>
      <c r="M96">
        <v>3328</v>
      </c>
    </row>
    <row r="97" spans="1:13" s="9" customFormat="1" x14ac:dyDescent="0.25">
      <c r="A97" s="9" t="s">
        <v>93</v>
      </c>
      <c r="B97" s="9" t="s">
        <v>125</v>
      </c>
      <c r="C97" s="9">
        <v>3</v>
      </c>
      <c r="D97" s="9">
        <v>3.3</v>
      </c>
      <c r="E97" s="9">
        <v>3</v>
      </c>
      <c r="F97" s="9">
        <f t="shared" si="4"/>
        <v>9.8999999999999986</v>
      </c>
      <c r="G97" s="9">
        <v>5</v>
      </c>
      <c r="H97" s="10"/>
      <c r="I97" s="10"/>
      <c r="J97" s="9">
        <v>1</v>
      </c>
      <c r="K97" s="9">
        <v>0</v>
      </c>
      <c r="L97" s="9">
        <v>1</v>
      </c>
      <c r="M97">
        <v>1</v>
      </c>
    </row>
    <row r="98" spans="1:13" s="9" customFormat="1" x14ac:dyDescent="0.25">
      <c r="A98" s="9" t="s">
        <v>94</v>
      </c>
      <c r="B98" s="9" t="s">
        <v>125</v>
      </c>
      <c r="C98" s="9">
        <v>3</v>
      </c>
      <c r="D98" s="9">
        <v>3</v>
      </c>
      <c r="E98" s="9">
        <v>3</v>
      </c>
      <c r="F98" s="9">
        <f t="shared" si="4"/>
        <v>9</v>
      </c>
      <c r="G98" s="9">
        <v>3.6</v>
      </c>
      <c r="H98" s="10"/>
      <c r="I98" s="10"/>
      <c r="J98" s="9">
        <v>1</v>
      </c>
      <c r="K98" s="9">
        <v>0</v>
      </c>
      <c r="L98">
        <v>1</v>
      </c>
      <c r="M98">
        <v>1</v>
      </c>
    </row>
    <row r="99" spans="1:13" x14ac:dyDescent="0.25">
      <c r="A99" t="s">
        <v>33</v>
      </c>
      <c r="B99" t="s">
        <v>128</v>
      </c>
      <c r="C99">
        <v>3</v>
      </c>
      <c r="D99">
        <v>33.1</v>
      </c>
      <c r="E99">
        <v>15.06</v>
      </c>
      <c r="F99">
        <f>D99*E99</f>
        <v>498.48600000000005</v>
      </c>
      <c r="G99">
        <v>3.6</v>
      </c>
      <c r="J99">
        <v>2</v>
      </c>
      <c r="K99" t="s">
        <v>181</v>
      </c>
      <c r="L99">
        <v>1</v>
      </c>
      <c r="M99">
        <v>1</v>
      </c>
    </row>
  </sheetData>
  <sortState xmlns:xlrd2="http://schemas.microsoft.com/office/spreadsheetml/2017/richdata2" ref="A2:G98">
    <sortCondition ref="B2:B9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Alizadehziri, Fatemeh</dc:creator>
  <cp:lastModifiedBy>Alizadehziri, Fatemeh</cp:lastModifiedBy>
  <dcterms:created xsi:type="dcterms:W3CDTF">2025-04-03T19:14:05Z</dcterms:created>
  <dcterms:modified xsi:type="dcterms:W3CDTF">2025-10-31T00:54:51Z</dcterms:modified>
</cp:coreProperties>
</file>