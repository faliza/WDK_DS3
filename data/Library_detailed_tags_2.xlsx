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.alizadehziri\Desktop\"/>
    </mc:Choice>
  </mc:AlternateContent>
  <xr:revisionPtr revIDLastSave="0" documentId="8_{7998B659-B9A0-4B1D-A0BE-D9D9141E3F4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" i="1" l="1"/>
  <c r="P21" i="1"/>
  <c r="P20" i="1"/>
  <c r="P19" i="1"/>
  <c r="P18" i="1"/>
  <c r="P16" i="1"/>
  <c r="P17" i="1"/>
  <c r="P15" i="1"/>
  <c r="P13" i="1"/>
  <c r="P3" i="1"/>
  <c r="P4" i="1"/>
  <c r="P5" i="1"/>
  <c r="P6" i="1"/>
  <c r="P7" i="1"/>
  <c r="P8" i="1"/>
  <c r="P9" i="1"/>
  <c r="P10" i="1"/>
  <c r="P11" i="1"/>
  <c r="P12" i="1"/>
  <c r="P14" i="1"/>
  <c r="P22" i="1"/>
  <c r="P23" i="1"/>
  <c r="P24" i="1"/>
  <c r="P25" i="1"/>
  <c r="P26" i="1"/>
  <c r="P27" i="1"/>
  <c r="P28" i="1"/>
  <c r="P29" i="1"/>
  <c r="P30" i="1"/>
  <c r="P31" i="1"/>
  <c r="P32" i="1"/>
  <c r="P34" i="1"/>
  <c r="P35" i="1"/>
  <c r="P36" i="1"/>
  <c r="P2" i="1"/>
  <c r="O33" i="1"/>
  <c r="O21" i="1"/>
  <c r="O20" i="1"/>
  <c r="O19" i="1"/>
  <c r="O18" i="1"/>
  <c r="O17" i="1"/>
  <c r="O16" i="1"/>
  <c r="O15" i="1"/>
  <c r="O13" i="1"/>
  <c r="O3" i="1"/>
  <c r="O4" i="1"/>
  <c r="O5" i="1"/>
  <c r="O6" i="1"/>
  <c r="O7" i="1"/>
  <c r="O8" i="1"/>
  <c r="O9" i="1"/>
  <c r="O10" i="1"/>
  <c r="O11" i="1"/>
  <c r="O12" i="1"/>
  <c r="O14" i="1"/>
  <c r="O22" i="1"/>
  <c r="O23" i="1"/>
  <c r="O24" i="1"/>
  <c r="O25" i="1"/>
  <c r="O26" i="1"/>
  <c r="O27" i="1"/>
  <c r="O28" i="1"/>
  <c r="O29" i="1"/>
  <c r="O30" i="1"/>
  <c r="O31" i="1"/>
  <c r="O32" i="1"/>
  <c r="O34" i="1"/>
  <c r="O35" i="1"/>
  <c r="O36" i="1"/>
  <c r="O2" i="1"/>
  <c r="N33" i="1"/>
  <c r="N21" i="1"/>
  <c r="N20" i="1"/>
  <c r="N19" i="1"/>
  <c r="N18" i="1"/>
  <c r="N15" i="1"/>
  <c r="N14" i="1"/>
  <c r="N13" i="1"/>
  <c r="N3" i="1"/>
  <c r="N4" i="1"/>
  <c r="N5" i="1"/>
  <c r="N6" i="1"/>
  <c r="N7" i="1"/>
  <c r="N8" i="1"/>
  <c r="N9" i="1"/>
  <c r="N10" i="1"/>
  <c r="N11" i="1"/>
  <c r="N12" i="1"/>
  <c r="N16" i="1"/>
  <c r="N17" i="1"/>
  <c r="N22" i="1"/>
  <c r="N23" i="1"/>
  <c r="N24" i="1"/>
  <c r="N25" i="1"/>
  <c r="N26" i="1"/>
  <c r="N27" i="1"/>
  <c r="N28" i="1"/>
  <c r="N29" i="1"/>
  <c r="N30" i="1"/>
  <c r="N31" i="1"/>
  <c r="N32" i="1"/>
  <c r="N34" i="1"/>
  <c r="N35" i="1"/>
  <c r="N36" i="1"/>
  <c r="N2" i="1"/>
  <c r="M36" i="1"/>
  <c r="M33" i="1"/>
  <c r="M21" i="1"/>
  <c r="M20" i="1"/>
  <c r="M22" i="1"/>
  <c r="M19" i="1"/>
  <c r="M18" i="1"/>
  <c r="M17" i="1"/>
  <c r="M15" i="1"/>
  <c r="M27" i="1"/>
  <c r="M28" i="1"/>
  <c r="M29" i="1"/>
  <c r="M30" i="1"/>
  <c r="M31" i="1"/>
  <c r="M32" i="1"/>
  <c r="M34" i="1"/>
  <c r="M35" i="1"/>
  <c r="M16" i="1"/>
  <c r="M23" i="1"/>
  <c r="M24" i="1"/>
  <c r="M25" i="1"/>
  <c r="M26" i="1"/>
  <c r="M14" i="1"/>
  <c r="M13" i="1"/>
  <c r="M12" i="1"/>
  <c r="M7" i="1"/>
  <c r="M8" i="1"/>
  <c r="M9" i="1"/>
  <c r="M10" i="1"/>
  <c r="M11" i="1"/>
  <c r="M5" i="1"/>
  <c r="M6" i="1"/>
  <c r="M4" i="1"/>
  <c r="M3" i="1"/>
  <c r="M2" i="1"/>
  <c r="AC35" i="1"/>
  <c r="AC36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2" i="1"/>
  <c r="AB36" i="1"/>
  <c r="AA36" i="1"/>
  <c r="AC3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" i="1"/>
  <c r="AB4" i="1"/>
  <c r="AB5" i="1"/>
  <c r="AB6" i="1"/>
  <c r="AB7" i="1"/>
  <c r="AB8" i="1"/>
  <c r="AB9" i="1"/>
  <c r="AB10" i="1"/>
  <c r="AB11" i="1"/>
  <c r="AB12" i="1"/>
  <c r="AB2" i="1"/>
  <c r="AA2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5" i="1"/>
  <c r="AA6" i="1"/>
  <c r="AA7" i="1"/>
  <c r="AA8" i="1"/>
  <c r="AA9" i="1"/>
  <c r="AA4" i="1"/>
  <c r="AA3" i="1"/>
  <c r="Z2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" i="1"/>
  <c r="F39" i="1"/>
  <c r="F35" i="1"/>
  <c r="F34" i="1"/>
  <c r="F33" i="1"/>
  <c r="J36" i="1"/>
  <c r="K36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12" i="1"/>
  <c r="K12" i="1" s="1"/>
  <c r="J11" i="1"/>
  <c r="K11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2" i="1"/>
  <c r="K2" i="1" s="1"/>
  <c r="F2" i="1"/>
  <c r="F38" i="1"/>
  <c r="F61" i="1"/>
  <c r="F40" i="1"/>
  <c r="F41" i="1"/>
  <c r="F42" i="1"/>
  <c r="F43" i="1"/>
  <c r="F44" i="1"/>
  <c r="F45" i="1"/>
  <c r="F46" i="1"/>
  <c r="F3" i="1"/>
  <c r="F4" i="1"/>
  <c r="F5" i="1"/>
  <c r="F6" i="1"/>
  <c r="F7" i="1"/>
  <c r="F8" i="1"/>
  <c r="F9" i="1"/>
  <c r="F47" i="1"/>
  <c r="F48" i="1"/>
  <c r="F49" i="1"/>
  <c r="F50" i="1"/>
  <c r="F51" i="1"/>
  <c r="F52" i="1"/>
  <c r="F53" i="1"/>
  <c r="F10" i="1"/>
  <c r="F11" i="1"/>
  <c r="F62" i="1"/>
  <c r="F54" i="1"/>
  <c r="F12" i="1"/>
  <c r="F63" i="1"/>
  <c r="F55" i="1"/>
  <c r="F56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6" i="1"/>
  <c r="F64" i="1"/>
  <c r="F65" i="1"/>
  <c r="F66" i="1"/>
  <c r="F67" i="1"/>
  <c r="F68" i="1"/>
  <c r="F69" i="1"/>
  <c r="F70" i="1"/>
  <c r="F57" i="1"/>
  <c r="F58" i="1"/>
  <c r="F59" i="1"/>
  <c r="F60" i="1"/>
  <c r="F71" i="1"/>
  <c r="F72" i="1"/>
  <c r="F73" i="1"/>
  <c r="F74" i="1"/>
  <c r="F75" i="1"/>
  <c r="F76" i="1"/>
  <c r="F37" i="1"/>
</calcChain>
</file>

<file path=xl/sharedStrings.xml><?xml version="1.0" encoding="utf-8"?>
<sst xmlns="http://schemas.openxmlformats.org/spreadsheetml/2006/main" count="227" uniqueCount="157">
  <si>
    <t>type (p=0,s=1,com=2)</t>
  </si>
  <si>
    <t>Space</t>
  </si>
  <si>
    <t>TI-CC2650</t>
  </si>
  <si>
    <t>USB-6221</t>
  </si>
  <si>
    <t>MTi-1</t>
  </si>
  <si>
    <t>MTi-610</t>
  </si>
  <si>
    <t>MTi-610R</t>
  </si>
  <si>
    <t>MTi-100</t>
  </si>
  <si>
    <t>ADXL345</t>
  </si>
  <si>
    <t>L3GD20H</t>
  </si>
  <si>
    <t>BMP280</t>
  </si>
  <si>
    <t>LPS25HBTR</t>
  </si>
  <si>
    <t>HMC5883L</t>
  </si>
  <si>
    <t>CC2541F128RHAR</t>
  </si>
  <si>
    <t>PIC24FJ256GB106</t>
  </si>
  <si>
    <t>PIC24FJ256GB108</t>
  </si>
  <si>
    <t>PIC24FJ256GB110</t>
  </si>
  <si>
    <t>ATMEGA2560-16AU</t>
  </si>
  <si>
    <t>ATSAM3X8EA-AU</t>
  </si>
  <si>
    <t>MSP430FR2353</t>
  </si>
  <si>
    <t>ISM330DLCTR</t>
  </si>
  <si>
    <t>LSM303AHTR</t>
  </si>
  <si>
    <t>AIS2DW12</t>
  </si>
  <si>
    <t>ISM303DAC</t>
  </si>
  <si>
    <t>LSM9DS1</t>
  </si>
  <si>
    <t>PIC32MX150F128D (28-Pin SPDIP)</t>
  </si>
  <si>
    <t>ATmega32u4</t>
  </si>
  <si>
    <t>USB-6009</t>
  </si>
  <si>
    <t>LSM9DS0</t>
  </si>
  <si>
    <t>STM32L1 (UFBGA) 100pins</t>
  </si>
  <si>
    <t>BT33LT-F</t>
  </si>
  <si>
    <t xml:space="preserve">AX3 </t>
  </si>
  <si>
    <t>LSM6D</t>
  </si>
  <si>
    <t>TDA4VPE-Q1</t>
  </si>
  <si>
    <t>AM273x (AM2732ADRFGAZCER)</t>
  </si>
  <si>
    <t>AM68x (FCBGA (ALZ) 770-pin)</t>
  </si>
  <si>
    <t>AM625-Q1 AMC (FCBGA, 441)</t>
  </si>
  <si>
    <t>AM67A74 AMW (FCBGA, 594) with VCA</t>
  </si>
  <si>
    <t>AM69A98 (FCBGA (ALY) 1414-pin)</t>
  </si>
  <si>
    <t>TDA4VM (FCBGA (ALF) 827-pin)</t>
  </si>
  <si>
    <t>TDA4AL (FCBGA (ALZ) 770-pin)</t>
  </si>
  <si>
    <t>TDA4VL (FCBGA (ALZ) 770-pin)</t>
  </si>
  <si>
    <t>STM32F2 (LQFP64)</t>
  </si>
  <si>
    <t>STM32F405 (LQFP176)</t>
  </si>
  <si>
    <t>STM32F722 (LQFP144)</t>
  </si>
  <si>
    <t>STM32H562 (LQFP100)</t>
  </si>
  <si>
    <t>STM32H742xI/G (UFBGA176+25)</t>
  </si>
  <si>
    <t>STM32N6x5xx (VFBGA178)</t>
  </si>
  <si>
    <t>STM32L051x6 (LQFP64)</t>
  </si>
  <si>
    <t>STM32L476xx (LQFP144)</t>
  </si>
  <si>
    <t>STM32U385xx (LQFP48)</t>
  </si>
  <si>
    <t>STM32U545xx (UFBGA64)</t>
  </si>
  <si>
    <t>STM32MP135F (LFBGA289)</t>
  </si>
  <si>
    <t>STM32MP251 (TFBGA361)</t>
  </si>
  <si>
    <t>EFR32BG26B311F1024IL136</t>
  </si>
  <si>
    <t>CC2651R3SIPA</t>
  </si>
  <si>
    <t>CC2652PSIP</t>
  </si>
  <si>
    <t>CC2650MODA</t>
  </si>
  <si>
    <t>CC1310F128RGZT</t>
  </si>
  <si>
    <t>CC1310F128RHBT</t>
  </si>
  <si>
    <t>ESP32 (QFN48)</t>
  </si>
  <si>
    <t>MAX30205 (TDFN-8)</t>
  </si>
  <si>
    <t>Si7050</t>
  </si>
  <si>
    <t>TMP117 (WSON)</t>
  </si>
  <si>
    <t>MAX30102</t>
  </si>
  <si>
    <t>HC05</t>
  </si>
  <si>
    <t>RN-42</t>
  </si>
  <si>
    <t>BlueNRG-MS</t>
  </si>
  <si>
    <t>nRF52840</t>
  </si>
  <si>
    <t>PmodBT2</t>
  </si>
  <si>
    <t>AS_NRF51822</t>
  </si>
  <si>
    <t>Length(mm)</t>
  </si>
  <si>
    <t>Width(mm)</t>
  </si>
  <si>
    <t>name</t>
  </si>
  <si>
    <t>MCU , BT</t>
  </si>
  <si>
    <t>MCU</t>
  </si>
  <si>
    <t>ACC</t>
  </si>
  <si>
    <t>ACC , GYRO</t>
  </si>
  <si>
    <t>GYRO</t>
  </si>
  <si>
    <t>MAG</t>
  </si>
  <si>
    <t>ACC , MAG</t>
  </si>
  <si>
    <t>ACC , GYRO , MAG</t>
  </si>
  <si>
    <t>TEMP</t>
  </si>
  <si>
    <t>HR , SpO2</t>
  </si>
  <si>
    <t>USB</t>
  </si>
  <si>
    <t>BT</t>
  </si>
  <si>
    <t>MCU , BT , ZIGBEE , THREAD</t>
  </si>
  <si>
    <t>MCU , BT , WIFI</t>
  </si>
  <si>
    <t>MCU , RF</t>
  </si>
  <si>
    <t>MCU, BT</t>
  </si>
  <si>
    <t>MCU , BT ,  ZIGBEE , THREAD</t>
  </si>
  <si>
    <t>type</t>
  </si>
  <si>
    <t>clock_frequency(MHz)</t>
  </si>
  <si>
    <t>bus_width (bits)</t>
  </si>
  <si>
    <t>ACC , GYRO, MAG</t>
  </si>
  <si>
    <t>0.004, 0.008, 0.0001</t>
  </si>
  <si>
    <t>PRESS, TEMP</t>
  </si>
  <si>
    <t>157 Hz</t>
  </si>
  <si>
    <t>25 Hz</t>
  </si>
  <si>
    <t>24 ,16</t>
  </si>
  <si>
    <t>160 Hz</t>
  </si>
  <si>
    <t>20 Hz</t>
  </si>
  <si>
    <t>6.66 KHz</t>
  </si>
  <si>
    <t>(16*9)</t>
  </si>
  <si>
    <t>16*3 ,16*3,16*3</t>
  </si>
  <si>
    <t>16*6</t>
  </si>
  <si>
    <t>16*3</t>
  </si>
  <si>
    <t>24*2</t>
  </si>
  <si>
    <t>3200 Hz</t>
  </si>
  <si>
    <t>6400 , 100 Hz</t>
  </si>
  <si>
    <t>100 Hz</t>
  </si>
  <si>
    <t>16*9</t>
  </si>
  <si>
    <t>952, 952,80 Hz</t>
  </si>
  <si>
    <t>757.6 Hz</t>
  </si>
  <si>
    <t>6400 , 150 Hz</t>
  </si>
  <si>
    <t>1600, 760,100 Hz</t>
  </si>
  <si>
    <t>6.66 kHz</t>
  </si>
  <si>
    <t>92.6 Hz</t>
  </si>
  <si>
    <t>1 Hz</t>
  </si>
  <si>
    <t>18*2</t>
  </si>
  <si>
    <t>48 kS/s</t>
  </si>
  <si>
    <t>250 kS/s</t>
  </si>
  <si>
    <t xml:space="preserve">2496, 2 </t>
  </si>
  <si>
    <t>1536, 2, 0.25, 0.15</t>
  </si>
  <si>
    <t>1536, 2,0.25,0.15</t>
  </si>
  <si>
    <t>1536, 1,0.25,0.15</t>
  </si>
  <si>
    <t>1536, 4</t>
  </si>
  <si>
    <t>7680, 1, 150</t>
  </si>
  <si>
    <t>2048, 2, 0.25, 0.15</t>
  </si>
  <si>
    <t>512, 1</t>
  </si>
  <si>
    <t>Throughput</t>
  </si>
  <si>
    <t>Throughput2</t>
  </si>
  <si>
    <t>Nvidia_xavier</t>
  </si>
  <si>
    <t>Rpi5</t>
  </si>
  <si>
    <t>Odroid_XU3</t>
  </si>
  <si>
    <t>Supply_v</t>
  </si>
  <si>
    <t>Power_W</t>
  </si>
  <si>
    <t>Flops-&gt;inst</t>
  </si>
  <si>
    <t>BMA400</t>
  </si>
  <si>
    <t>Tier</t>
  </si>
  <si>
    <t>Closest Reference (1=Nvidia / 2=Rpi5 / 3=Odroid)</t>
  </si>
  <si>
    <t>Real_latnecy_filtering</t>
  </si>
  <si>
    <t>Ds3_latency_filtering</t>
  </si>
  <si>
    <t>BMI160</t>
  </si>
  <si>
    <t>LIS3DH</t>
  </si>
  <si>
    <t>Real_latnecy_FFT</t>
  </si>
  <si>
    <t>Real_latnecy_FE</t>
  </si>
  <si>
    <t>Real_latnecy_MLP</t>
  </si>
  <si>
    <t>Latency_Filtering</t>
  </si>
  <si>
    <t>MIPS/Oranges-&gt;TOPS</t>
  </si>
  <si>
    <t>Latency_FE</t>
  </si>
  <si>
    <t>Latency_MLP</t>
  </si>
  <si>
    <t>Task MLP flops</t>
  </si>
  <si>
    <t>Latency_FFT64</t>
  </si>
  <si>
    <t>Task FFT64 Flops per axis</t>
  </si>
  <si>
    <t>TaskFiltering Flops per axis per sample-&gt;math functions counted as 1 FLOP each</t>
  </si>
  <si>
    <t>Task FE flops per axis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</si>
</sst>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3" fontId="0" fillId="0" borderId="0" xfId="0" applyNumberFormat="1"/>
    <xf numFmtId="0" fontId="0" fillId="0" borderId="0" xfId="0" applyFill="1"/>
    <xf numFmtId="0" fontId="0" fillId="0" borderId="0" xfId="0" applyFill="1" applyAlignment="1">
      <alignment horizontal="right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horizontal="center" vertical="center" wrapText="1"/>
    </xf>
    <xf numFmtId="0" fontId="0" fillId="3" borderId="0" xfId="0" applyFill="1"/>
    <xf numFmtId="0" fontId="3" fillId="0" borderId="0" xfId="0" applyFont="1" applyFill="1"/>
    <xf numFmtId="3" fontId="0" fillId="0" borderId="0" xfId="0" applyNumberFormat="1" applyFill="1"/>
    <xf numFmtId="0" fontId="0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6"/>
  <sheetViews>
    <sheetView tabSelected="1" zoomScale="85" zoomScaleNormal="85" workbookViewId="0">
      <selection activeCell="H16" sqref="H16"/>
    </sheetView>
  </sheetViews>
  <sheetFormatPr defaultRowHeight="15" x14ac:dyDescent="0.25"/>
  <cols>
    <col min="1" max="1" width="35.7109375" bestFit="1" customWidth="1"/>
    <col min="2" max="2" width="20" bestFit="1" customWidth="1"/>
    <col min="4" max="4" width="11.85546875" bestFit="1" customWidth="1"/>
    <col min="5" max="5" width="11.42578125" bestFit="1" customWidth="1"/>
    <col min="8" max="8" width="34.7109375" style="2" bestFit="1" customWidth="1"/>
    <col min="9" max="9" width="21.85546875" style="2" bestFit="1" customWidth="1"/>
    <col min="10" max="11" width="18.28515625" bestFit="1" customWidth="1"/>
    <col min="12" max="12" width="10.85546875" bestFit="1" customWidth="1"/>
    <col min="13" max="13" width="17.85546875" bestFit="1" customWidth="1"/>
    <col min="14" max="14" width="24.5703125" bestFit="1" customWidth="1"/>
    <col min="15" max="16" width="24.5703125" customWidth="1"/>
    <col min="17" max="17" width="23.42578125" bestFit="1" customWidth="1"/>
    <col min="19" max="19" width="26.85546875" bestFit="1" customWidth="1"/>
    <col min="20" max="22" width="26.85546875" customWidth="1"/>
    <col min="24" max="24" width="13.140625" bestFit="1" customWidth="1"/>
    <col min="25" max="25" width="9.5703125" style="13" bestFit="1" customWidth="1"/>
    <col min="26" max="26" width="20.5703125" bestFit="1" customWidth="1"/>
    <col min="27" max="27" width="18.85546875" bestFit="1" customWidth="1"/>
    <col min="28" max="28" width="17.7109375" bestFit="1" customWidth="1"/>
    <col min="29" max="29" width="19.5703125" bestFit="1" customWidth="1"/>
  </cols>
  <sheetData>
    <row r="1" spans="1:29" ht="63.75" x14ac:dyDescent="0.25">
      <c r="A1" t="s">
        <v>73</v>
      </c>
      <c r="B1" t="s">
        <v>91</v>
      </c>
      <c r="C1" t="s">
        <v>0</v>
      </c>
      <c r="D1" s="1" t="s">
        <v>71</v>
      </c>
      <c r="E1" s="1" t="s">
        <v>72</v>
      </c>
      <c r="F1" t="s">
        <v>1</v>
      </c>
      <c r="G1" t="s">
        <v>135</v>
      </c>
      <c r="H1" s="3" t="s">
        <v>93</v>
      </c>
      <c r="I1" s="3" t="s">
        <v>92</v>
      </c>
      <c r="J1" t="s">
        <v>130</v>
      </c>
      <c r="K1" t="s">
        <v>131</v>
      </c>
      <c r="L1" t="s">
        <v>136</v>
      </c>
      <c r="M1" t="s">
        <v>148</v>
      </c>
      <c r="N1" t="s">
        <v>153</v>
      </c>
      <c r="O1" t="s">
        <v>150</v>
      </c>
      <c r="P1" t="s">
        <v>151</v>
      </c>
      <c r="Q1" t="s">
        <v>149</v>
      </c>
      <c r="R1" t="s">
        <v>137</v>
      </c>
      <c r="S1" t="s">
        <v>155</v>
      </c>
      <c r="T1" t="s">
        <v>154</v>
      </c>
      <c r="U1" t="s">
        <v>156</v>
      </c>
      <c r="V1" t="s">
        <v>152</v>
      </c>
      <c r="W1" s="11" t="s">
        <v>139</v>
      </c>
      <c r="X1" t="s">
        <v>141</v>
      </c>
      <c r="Y1" s="12" t="s">
        <v>140</v>
      </c>
      <c r="Z1" t="s">
        <v>142</v>
      </c>
      <c r="AA1" t="s">
        <v>145</v>
      </c>
      <c r="AB1" t="s">
        <v>146</v>
      </c>
      <c r="AC1" t="s">
        <v>147</v>
      </c>
    </row>
    <row r="2" spans="1:29" x14ac:dyDescent="0.25">
      <c r="A2" t="s">
        <v>2</v>
      </c>
      <c r="B2" t="s">
        <v>74</v>
      </c>
      <c r="C2">
        <v>0</v>
      </c>
      <c r="D2">
        <v>4</v>
      </c>
      <c r="E2">
        <v>4</v>
      </c>
      <c r="F2">
        <f t="shared" ref="F2:F36" si="0">D2*E2</f>
        <v>16</v>
      </c>
      <c r="G2">
        <v>3.8</v>
      </c>
      <c r="H2" s="2">
        <v>32</v>
      </c>
      <c r="I2" s="2">
        <v>48</v>
      </c>
      <c r="J2">
        <f>H2*I2</f>
        <v>1536</v>
      </c>
      <c r="K2">
        <f>I2*J2</f>
        <v>73728</v>
      </c>
      <c r="L2">
        <v>5.5100000000000001E-3</v>
      </c>
      <c r="M2">
        <f>$S$2*3*512*R2/Q2</f>
        <v>3456</v>
      </c>
      <c r="N2">
        <f>$T$2*3*R2/Q2</f>
        <v>11520</v>
      </c>
      <c r="O2">
        <f>$U$2*3*R2/Q2</f>
        <v>10763.25</v>
      </c>
      <c r="P2">
        <f>$V$2*R2/Q2</f>
        <v>388</v>
      </c>
      <c r="Q2">
        <v>60</v>
      </c>
      <c r="R2">
        <v>15</v>
      </c>
      <c r="S2">
        <v>9</v>
      </c>
      <c r="T2">
        <v>15360</v>
      </c>
      <c r="U2">
        <v>14351</v>
      </c>
      <c r="V2">
        <v>1552</v>
      </c>
      <c r="W2" s="11">
        <v>0.18</v>
      </c>
      <c r="Y2" s="14">
        <v>3</v>
      </c>
      <c r="Z2">
        <f>IF($Y2=1, $X$33*($W$33*$I$33)/(W2*I2),
 IF($Y2=2, $X$34*($W$34*$I$34)/(W2*I2),
 IF($Y2=3, $X$35*($W$35*$I$35)/(W2*I2),
 "")))</f>
        <v>15248.495370370372</v>
      </c>
      <c r="AA2">
        <f>IF($Y2=1, $AA$33*($W$33*$I$33)/(W2*I2),
 IF($Y2=2, $AA$34*($W$34*$I$34)/(W2*I2),
 IF($Y2=3, $AA$35*($W$35*$I$35)/(W2*I2),
 "")))</f>
        <v>90287.847222222234</v>
      </c>
      <c r="AB2">
        <f>IF($Y2=1, $AB$33*($W$33*$I$33)/(W2*I2),
 IF($Y2=2, $AB$34*($W$34*$I$34)/(W2*I2),
 IF($Y2=3, $AB$35*($W$35*$I$35)/(W2*I2),
 "")))</f>
        <v>58917.476851851861</v>
      </c>
      <c r="AC2">
        <f>IF($Y2=1, $AC$33*($W$33*$I$33)/(W2*I2),
 IF($Y2=2, $AC$34*($W$34*$I$34)/(W2*I2),
 IF($Y2=3, $AC$33*($W$33*$I$33)/(W2*I2),
 "")))</f>
        <v>623701.5555555555</v>
      </c>
    </row>
    <row r="3" spans="1:29" x14ac:dyDescent="0.25">
      <c r="A3" t="s">
        <v>13</v>
      </c>
      <c r="B3" t="s">
        <v>74</v>
      </c>
      <c r="C3">
        <v>0</v>
      </c>
      <c r="D3">
        <v>6</v>
      </c>
      <c r="E3">
        <v>6</v>
      </c>
      <c r="F3">
        <f t="shared" si="0"/>
        <v>36</v>
      </c>
      <c r="G3">
        <v>3.6</v>
      </c>
      <c r="H3" s="2">
        <v>8</v>
      </c>
      <c r="I3" s="2">
        <v>32</v>
      </c>
      <c r="J3">
        <f t="shared" ref="J3:K36" si="1">H3*I3</f>
        <v>256</v>
      </c>
      <c r="K3">
        <f t="shared" si="1"/>
        <v>8192</v>
      </c>
      <c r="L3">
        <v>0.06</v>
      </c>
      <c r="M3">
        <f>$S$2*3*512*R3/Q3</f>
        <v>27648</v>
      </c>
      <c r="N3">
        <f t="shared" ref="N3:N36" si="2">$T$2*3*R3/Q3</f>
        <v>92160</v>
      </c>
      <c r="O3">
        <f t="shared" ref="O3:O36" si="3">$U$2*3*R3/Q3</f>
        <v>86106</v>
      </c>
      <c r="P3">
        <f t="shared" ref="P3:P36" si="4">$V$2*R3/Q3</f>
        <v>3104</v>
      </c>
      <c r="Q3">
        <v>20</v>
      </c>
      <c r="R3">
        <v>40</v>
      </c>
      <c r="W3" s="11">
        <v>0.05</v>
      </c>
      <c r="Y3" s="14">
        <v>3</v>
      </c>
      <c r="Z3">
        <f>IF($Y3=1, $X$33*($W$33*$I$33)/(W3*I3),
 IF($Y3=2, $X$34*($W$34*$I$34)/(W3*I3),
 IF($Y3=3, $X$35*($W$35*$I$35)/(W3*I3),
 "")))</f>
        <v>82341.875000000015</v>
      </c>
      <c r="AA3">
        <f>IF($Y3=1, $AA$33*($W$33*$I$33)/(W3*I3),
 IF($Y3=2, $AA$34*($W$34*$I$34)/(W3*I3),
 IF($Y3=3, $AA$35*($W$35*$I$35)/(W3*I3),
 "")))</f>
        <v>487554.37500000006</v>
      </c>
      <c r="AB3">
        <f>IF($Y3=1, $AB$33*($W$33*$I$33)/(W3*I3),
 IF($Y3=2, $AB$34*($W$34*$I$34)/(W3*I3),
 IF($Y3=3, $AB$35*($W$35*$I$35)/(W3*I3),
 "")))</f>
        <v>318154.37500000006</v>
      </c>
      <c r="AC3">
        <f>IF($Y3=1, $AC$33*($W$33*$I$33)/(W3*I3),
 IF($Y3=2, $AC$34*($W$34*$I$34)/(W3*I3),
 IF($Y3=3, $AC$33*($W$33*$I$33)/(W3*I3),
 "")))</f>
        <v>3367988.4</v>
      </c>
    </row>
    <row r="4" spans="1:29" x14ac:dyDescent="0.25">
      <c r="A4" t="s">
        <v>14</v>
      </c>
      <c r="B4" t="s">
        <v>75</v>
      </c>
      <c r="C4">
        <v>0</v>
      </c>
      <c r="D4">
        <v>12</v>
      </c>
      <c r="E4">
        <v>12</v>
      </c>
      <c r="F4">
        <f t="shared" si="0"/>
        <v>144</v>
      </c>
      <c r="G4">
        <v>3.6</v>
      </c>
      <c r="H4" s="2">
        <v>16</v>
      </c>
      <c r="I4" s="2">
        <v>32</v>
      </c>
      <c r="J4">
        <f t="shared" si="1"/>
        <v>512</v>
      </c>
      <c r="K4">
        <f t="shared" si="1"/>
        <v>16384</v>
      </c>
      <c r="L4">
        <v>5.7599999999999998E-2</v>
      </c>
      <c r="M4">
        <f>$S$2*3*512*R4/Q4</f>
        <v>17280</v>
      </c>
      <c r="N4">
        <f t="shared" si="2"/>
        <v>57600</v>
      </c>
      <c r="O4">
        <f t="shared" si="3"/>
        <v>53816.25</v>
      </c>
      <c r="P4">
        <f t="shared" si="4"/>
        <v>1940</v>
      </c>
      <c r="Q4">
        <v>16</v>
      </c>
      <c r="R4">
        <v>20</v>
      </c>
      <c r="W4" s="11">
        <v>0.09</v>
      </c>
      <c r="Y4" s="14">
        <v>3</v>
      </c>
      <c r="Z4">
        <f>IF($Y4=1, $X$33*($W$33*$I$33)/(W4*I4),
 IF($Y4=2, $X$34*($W$34*$I$34)/(W4*I4),
 IF($Y4=3, $X$35*($W$35*$I$35)/(W4*I4),
 "")))</f>
        <v>45745.486111111124</v>
      </c>
      <c r="AA4">
        <f>IF($Y4=1, $AA$33*($W$33*$I$33)/(W4*I4),
 IF($Y4=2, $AA$34*($W$34*$I$34)/(W4*I4),
 IF($Y4=3, $AA$35*($W$35*$I$35)/(W4*I4),
 "")))</f>
        <v>270863.54166666674</v>
      </c>
      <c r="AB4">
        <f>IF($Y4=1, $AB$33*($W$33*$I$33)/(W4*I4),
 IF($Y4=2, $AB$34*($W$34*$I$34)/(W4*I4),
 IF($Y4=3, $AB$35*($W$35*$I$35)/(W4*I4),
 "")))</f>
        <v>176752.43055555559</v>
      </c>
      <c r="AC4">
        <f>IF($Y4=1, $AC$33*($W$33*$I$33)/(W4*I4),
 IF($Y4=2, $AC$34*($W$34*$I$34)/(W4*I4),
 IF($Y4=3, $AC$33*($W$33*$I$33)/(W4*I4),
 "")))</f>
        <v>1871104.666666667</v>
      </c>
    </row>
    <row r="5" spans="1:29" x14ac:dyDescent="0.25">
      <c r="A5" t="s">
        <v>15</v>
      </c>
      <c r="B5" t="s">
        <v>75</v>
      </c>
      <c r="C5">
        <v>0</v>
      </c>
      <c r="D5">
        <v>12</v>
      </c>
      <c r="E5">
        <v>12</v>
      </c>
      <c r="F5">
        <f t="shared" si="0"/>
        <v>144</v>
      </c>
      <c r="G5">
        <v>3.6</v>
      </c>
      <c r="H5" s="2">
        <v>16</v>
      </c>
      <c r="I5" s="2">
        <v>32</v>
      </c>
      <c r="J5">
        <f t="shared" si="1"/>
        <v>512</v>
      </c>
      <c r="K5">
        <f t="shared" si="1"/>
        <v>16384</v>
      </c>
      <c r="L5">
        <v>5.7599999999999998E-2</v>
      </c>
      <c r="M5">
        <f>$S$2*3*512*R5/Q5</f>
        <v>17280</v>
      </c>
      <c r="N5">
        <f t="shared" si="2"/>
        <v>57600</v>
      </c>
      <c r="O5">
        <f t="shared" si="3"/>
        <v>53816.25</v>
      </c>
      <c r="P5">
        <f t="shared" si="4"/>
        <v>1940</v>
      </c>
      <c r="Q5">
        <v>16</v>
      </c>
      <c r="R5">
        <v>20</v>
      </c>
      <c r="W5" s="11">
        <v>0.09</v>
      </c>
      <c r="Y5" s="14">
        <v>3</v>
      </c>
      <c r="Z5">
        <f>IF($Y5=1, $X$33*($W$33*$I$33)/(W5*I5),
 IF($Y5=2, $X$34*($W$34*$I$34)/(W5*I5),
 IF($Y5=3, $X$35*($W$35*$I$35)/(W5*I5),
 "")))</f>
        <v>45745.486111111124</v>
      </c>
      <c r="AA5">
        <f>IF($Y5=1, $AA$33*($W$33*$I$33)/(W5*I5),
 IF($Y5=2, $AA$34*($W$34*$I$34)/(W5*I5),
 IF($Y5=3, $AA$35*($W$35*$I$35)/(W5*I5),
 "")))</f>
        <v>270863.54166666674</v>
      </c>
      <c r="AB5">
        <f>IF($Y5=1, $AB$33*($W$33*$I$33)/(W5*I5),
 IF($Y5=2, $AB$34*($W$34*$I$34)/(W5*I5),
 IF($Y5=3, $AB$35*($W$35*$I$35)/(W5*I5),
 "")))</f>
        <v>176752.43055555559</v>
      </c>
      <c r="AC5">
        <f>IF($Y5=1, $AC$33*($W$33*$I$33)/(W5*I5),
 IF($Y5=2, $AC$34*($W$34*$I$34)/(W5*I5),
 IF($Y5=3, $AC$33*($W$33*$I$33)/(W5*I5),
 "")))</f>
        <v>1871104.666666667</v>
      </c>
    </row>
    <row r="6" spans="1:29" x14ac:dyDescent="0.25">
      <c r="A6" t="s">
        <v>16</v>
      </c>
      <c r="B6" t="s">
        <v>75</v>
      </c>
      <c r="C6">
        <v>0</v>
      </c>
      <c r="D6">
        <v>12</v>
      </c>
      <c r="E6">
        <v>12</v>
      </c>
      <c r="F6">
        <f t="shared" si="0"/>
        <v>144</v>
      </c>
      <c r="G6">
        <v>3.6</v>
      </c>
      <c r="H6" s="2">
        <v>16</v>
      </c>
      <c r="I6" s="2">
        <v>32</v>
      </c>
      <c r="J6">
        <f t="shared" si="1"/>
        <v>512</v>
      </c>
      <c r="K6">
        <f t="shared" si="1"/>
        <v>16384</v>
      </c>
      <c r="L6">
        <v>5.7599999999999998E-2</v>
      </c>
      <c r="M6">
        <f>$S$2*3*512*R6/Q6</f>
        <v>17280</v>
      </c>
      <c r="N6">
        <f t="shared" si="2"/>
        <v>57600</v>
      </c>
      <c r="O6">
        <f t="shared" si="3"/>
        <v>53816.25</v>
      </c>
      <c r="P6">
        <f t="shared" si="4"/>
        <v>1940</v>
      </c>
      <c r="Q6">
        <v>16</v>
      </c>
      <c r="R6">
        <v>20</v>
      </c>
      <c r="W6" s="11">
        <v>0.09</v>
      </c>
      <c r="Y6" s="14">
        <v>3</v>
      </c>
      <c r="Z6">
        <f>IF($Y6=1, $X$33*($W$33*$I$33)/(W6*I6),
 IF($Y6=2, $X$34*($W$34*$I$34)/(W6*I6),
 IF($Y6=3, $X$35*($W$35*$I$35)/(W6*I6),
 "")))</f>
        <v>45745.486111111124</v>
      </c>
      <c r="AA6">
        <f>IF($Y6=1, $AA$33*($W$33*$I$33)/(W6*I6),
 IF($Y6=2, $AA$34*($W$34*$I$34)/(W6*I6),
 IF($Y6=3, $AA$35*($W$35*$I$35)/(W6*I6),
 "")))</f>
        <v>270863.54166666674</v>
      </c>
      <c r="AB6">
        <f>IF($Y6=1, $AB$33*($W$33*$I$33)/(W6*I6),
 IF($Y6=2, $AB$34*($W$34*$I$34)/(W6*I6),
 IF($Y6=3, $AB$35*($W$35*$I$35)/(W6*I6),
 "")))</f>
        <v>176752.43055555559</v>
      </c>
      <c r="AC6">
        <f>IF($Y6=1, $AC$33*($W$33*$I$33)/(W6*I6),
 IF($Y6=2, $AC$34*($W$34*$I$34)/(W6*I6),
 IF($Y6=3, $AC$33*($W$33*$I$33)/(W6*I6),
 "")))</f>
        <v>1871104.666666667</v>
      </c>
    </row>
    <row r="7" spans="1:29" x14ac:dyDescent="0.25">
      <c r="A7" t="s">
        <v>17</v>
      </c>
      <c r="B7" t="s">
        <v>75</v>
      </c>
      <c r="C7">
        <v>0</v>
      </c>
      <c r="D7">
        <v>14</v>
      </c>
      <c r="E7">
        <v>14</v>
      </c>
      <c r="F7">
        <f t="shared" si="0"/>
        <v>196</v>
      </c>
      <c r="G7">
        <v>5.5</v>
      </c>
      <c r="H7" s="2">
        <v>8</v>
      </c>
      <c r="I7" s="2">
        <v>16</v>
      </c>
      <c r="J7">
        <f t="shared" si="1"/>
        <v>128</v>
      </c>
      <c r="K7">
        <f t="shared" si="1"/>
        <v>2048</v>
      </c>
      <c r="L7">
        <v>1.485E-2</v>
      </c>
      <c r="M7">
        <f>$S$2*3*512*R7/Q7</f>
        <v>25920</v>
      </c>
      <c r="N7">
        <f t="shared" si="2"/>
        <v>86400</v>
      </c>
      <c r="O7">
        <f t="shared" si="3"/>
        <v>80724.375</v>
      </c>
      <c r="P7">
        <f t="shared" si="4"/>
        <v>2910</v>
      </c>
      <c r="Q7">
        <v>16</v>
      </c>
      <c r="R7">
        <v>30</v>
      </c>
      <c r="W7" s="11">
        <v>0.05</v>
      </c>
      <c r="Y7" s="14">
        <v>3</v>
      </c>
      <c r="Z7">
        <f>IF($Y7=1, $X$33*($W$33*$I$33)/(W7*I7),
 IF($Y7=2, $X$34*($W$34*$I$34)/(W7*I7),
 IF($Y7=3, $X$35*($W$35*$I$35)/(W7*I7),
 "")))</f>
        <v>164683.75000000003</v>
      </c>
      <c r="AA7">
        <f>IF($Y7=1, $AA$33*($W$33*$I$33)/(W7*I7),
 IF($Y7=2, $AA$34*($W$34*$I$34)/(W7*I7),
 IF($Y7=3, $AA$35*($W$35*$I$35)/(W7*I7),
 "")))</f>
        <v>975108.75000000012</v>
      </c>
      <c r="AB7">
        <f>IF($Y7=1, $AB$33*($W$33*$I$33)/(W7*I7),
 IF($Y7=2, $AB$34*($W$34*$I$34)/(W7*I7),
 IF($Y7=3, $AB$35*($W$35*$I$35)/(W7*I7),
 "")))</f>
        <v>636308.75000000012</v>
      </c>
      <c r="AC7">
        <f>IF($Y7=1, $AC$33*($W$33*$I$33)/(W7*I7),
 IF($Y7=2, $AC$34*($W$34*$I$34)/(W7*I7),
 IF($Y7=3, $AC$33*($W$33*$I$33)/(W7*I7),
 "")))</f>
        <v>6735976.7999999998</v>
      </c>
    </row>
    <row r="8" spans="1:29" x14ac:dyDescent="0.25">
      <c r="A8" t="s">
        <v>18</v>
      </c>
      <c r="B8" t="s">
        <v>75</v>
      </c>
      <c r="C8">
        <v>0</v>
      </c>
      <c r="D8">
        <v>20</v>
      </c>
      <c r="E8">
        <v>20</v>
      </c>
      <c r="F8">
        <f t="shared" si="0"/>
        <v>400</v>
      </c>
      <c r="G8">
        <v>3.6</v>
      </c>
      <c r="H8" s="2">
        <v>32</v>
      </c>
      <c r="I8" s="2">
        <v>84</v>
      </c>
      <c r="J8">
        <f t="shared" si="1"/>
        <v>2688</v>
      </c>
      <c r="K8">
        <f t="shared" si="1"/>
        <v>225792</v>
      </c>
      <c r="L8">
        <v>0.2475</v>
      </c>
      <c r="M8">
        <f>$S$2*3*512*R8/Q8</f>
        <v>1974.8571428571429</v>
      </c>
      <c r="N8">
        <f t="shared" si="2"/>
        <v>6582.8571428571431</v>
      </c>
      <c r="O8">
        <f t="shared" si="3"/>
        <v>6150.4285714285716</v>
      </c>
      <c r="P8">
        <f t="shared" si="4"/>
        <v>221.71428571428572</v>
      </c>
      <c r="Q8">
        <v>105</v>
      </c>
      <c r="R8">
        <v>15</v>
      </c>
      <c r="W8" s="11">
        <v>0.18</v>
      </c>
      <c r="Y8" s="14">
        <v>3</v>
      </c>
      <c r="Z8">
        <f>IF($Y8=1, $X$33*($W$33*$I$33)/(W8*I8),
 IF($Y8=2, $X$34*($W$34*$I$34)/(W8*I8),
 IF($Y8=3, $X$35*($W$35*$I$35)/(W8*I8),
 "")))</f>
        <v>8713.4259259259288</v>
      </c>
      <c r="AA8">
        <f>IF($Y8=1, $AA$33*($W$33*$I$33)/(W8*I8),
 IF($Y8=2, $AA$34*($W$34*$I$34)/(W8*I8),
 IF($Y8=3, $AA$35*($W$35*$I$35)/(W8*I8),
 "")))</f>
        <v>51593.055555555569</v>
      </c>
      <c r="AB8">
        <f>IF($Y8=1, $AB$33*($W$33*$I$33)/(W8*I8),
 IF($Y8=2, $AB$34*($W$34*$I$34)/(W8*I8),
 IF($Y8=3, $AB$35*($W$35*$I$35)/(W8*I8),
 "")))</f>
        <v>33667.129629629642</v>
      </c>
      <c r="AC8">
        <f>IF($Y8=1, $AC$33*($W$33*$I$33)/(W8*I8),
 IF($Y8=2, $AC$34*($W$34*$I$34)/(W8*I8),
 IF($Y8=3, $AC$33*($W$33*$I$33)/(W8*I8),
 "")))</f>
        <v>356400.88888888893</v>
      </c>
    </row>
    <row r="9" spans="1:29" x14ac:dyDescent="0.25">
      <c r="A9" t="s">
        <v>19</v>
      </c>
      <c r="B9" t="s">
        <v>75</v>
      </c>
      <c r="C9">
        <v>0</v>
      </c>
      <c r="D9">
        <v>9.6</v>
      </c>
      <c r="E9">
        <v>9.6</v>
      </c>
      <c r="F9">
        <f t="shared" si="0"/>
        <v>92.16</v>
      </c>
      <c r="G9">
        <v>3.6</v>
      </c>
      <c r="H9" s="2">
        <v>16</v>
      </c>
      <c r="I9" s="2">
        <v>24</v>
      </c>
      <c r="J9">
        <f t="shared" si="1"/>
        <v>384</v>
      </c>
      <c r="K9">
        <f t="shared" si="1"/>
        <v>9216</v>
      </c>
      <c r="L9">
        <v>1.0200000000000001E-2</v>
      </c>
      <c r="M9">
        <f>$S$2*3*512*R9/Q9</f>
        <v>23040</v>
      </c>
      <c r="N9">
        <f t="shared" si="2"/>
        <v>76800</v>
      </c>
      <c r="O9">
        <f t="shared" si="3"/>
        <v>71755</v>
      </c>
      <c r="P9">
        <f t="shared" si="4"/>
        <v>2586.6666666666665</v>
      </c>
      <c r="Q9">
        <v>24</v>
      </c>
      <c r="R9">
        <v>40</v>
      </c>
      <c r="W9" s="11">
        <v>0.06</v>
      </c>
      <c r="Y9" s="14">
        <v>3</v>
      </c>
      <c r="Z9">
        <f>IF($Y9=1, $X$33*($W$33*$I$33)/(W9*I9),
 IF($Y9=2, $X$34*($W$34*$I$34)/(W9*I9),
 IF($Y9=3, $X$35*($W$35*$I$35)/(W9*I9),
 "")))</f>
        <v>91490.972222222248</v>
      </c>
      <c r="AA9">
        <f>IF($Y9=1, $AA$33*($W$33*$I$33)/(W9*I9),
 IF($Y9=2, $AA$34*($W$34*$I$34)/(W9*I9),
 IF($Y9=3, $AA$35*($W$35*$I$35)/(W9*I9),
 "")))</f>
        <v>541727.08333333349</v>
      </c>
      <c r="AB9">
        <f>IF($Y9=1, $AB$33*($W$33*$I$33)/(W9*I9),
 IF($Y9=2, $AB$34*($W$34*$I$34)/(W9*I9),
 IF($Y9=3, $AB$35*($W$35*$I$35)/(W9*I9),
 "")))</f>
        <v>353504.86111111118</v>
      </c>
      <c r="AC9">
        <f>IF($Y9=1, $AC$33*($W$33*$I$33)/(W9*I9),
 IF($Y9=2, $AC$34*($W$34*$I$34)/(W9*I9),
 IF($Y9=3, $AC$33*($W$33*$I$33)/(W9*I9),
 "")))</f>
        <v>3742209.333333334</v>
      </c>
    </row>
    <row r="10" spans="1:29" x14ac:dyDescent="0.25">
      <c r="A10" t="s">
        <v>25</v>
      </c>
      <c r="B10" t="s">
        <v>75</v>
      </c>
      <c r="C10">
        <v>0</v>
      </c>
      <c r="D10">
        <v>285</v>
      </c>
      <c r="E10">
        <v>135</v>
      </c>
      <c r="F10">
        <f t="shared" si="0"/>
        <v>38475</v>
      </c>
      <c r="G10">
        <v>3.6</v>
      </c>
      <c r="H10" s="2">
        <v>32</v>
      </c>
      <c r="I10" s="2">
        <v>50</v>
      </c>
      <c r="J10">
        <f t="shared" si="1"/>
        <v>1600</v>
      </c>
      <c r="K10">
        <f t="shared" si="1"/>
        <v>80000</v>
      </c>
      <c r="L10">
        <v>8.2500000000000004E-2</v>
      </c>
      <c r="M10">
        <f>$S$2*3*512*R10/Q10</f>
        <v>2831.4216867469881</v>
      </c>
      <c r="N10">
        <f t="shared" si="2"/>
        <v>9438.0722891566256</v>
      </c>
      <c r="O10">
        <f t="shared" si="3"/>
        <v>8818.0843373493972</v>
      </c>
      <c r="P10">
        <f t="shared" si="4"/>
        <v>317.87951807228916</v>
      </c>
      <c r="Q10">
        <v>83</v>
      </c>
      <c r="R10">
        <v>17</v>
      </c>
      <c r="W10" s="11">
        <v>0.2</v>
      </c>
      <c r="Y10" s="14">
        <v>3</v>
      </c>
      <c r="Z10">
        <f>IF($Y10=1, $X$33*($W$33*$I$33)/(W10*I10),
 IF($Y10=2, $X$34*($W$34*$I$34)/(W10*I10),
 IF($Y10=3, $X$35*($W$35*$I$35)/(W10*I10),
 "")))</f>
        <v>13174.700000000003</v>
      </c>
      <c r="AA10">
        <f>IF($Y10=1, $AA$33*($W$33*$I$33)/(W10*I10),
 IF($Y10=2, $AA$34*($W$34*$I$34)/(W10*I10),
 IF($Y10=3, $AA$35*($W$35*$I$35)/(W10*I10),
 "")))</f>
        <v>78008.700000000012</v>
      </c>
      <c r="AB10">
        <f>IF($Y10=1, $AB$33*($W$33*$I$33)/(W10*I10),
 IF($Y10=2, $AB$34*($W$34*$I$34)/(W10*I10),
 IF($Y10=3, $AB$35*($W$35*$I$35)/(W10*I10),
 "")))</f>
        <v>50904.700000000012</v>
      </c>
      <c r="AC10">
        <f>IF($Y10=1, $AC$33*($W$33*$I$33)/(W10*I10),
 IF($Y10=2, $AC$34*($W$34*$I$34)/(W10*I10),
 IF($Y10=3, $AC$33*($W$33*$I$33)/(W10*I10),
 "")))</f>
        <v>538878.14400000009</v>
      </c>
    </row>
    <row r="11" spans="1:29" x14ac:dyDescent="0.25">
      <c r="A11" t="s">
        <v>26</v>
      </c>
      <c r="B11" t="s">
        <v>75</v>
      </c>
      <c r="C11">
        <v>0</v>
      </c>
      <c r="D11">
        <v>34</v>
      </c>
      <c r="E11">
        <v>18</v>
      </c>
      <c r="F11">
        <f t="shared" si="0"/>
        <v>612</v>
      </c>
      <c r="G11">
        <v>5.5</v>
      </c>
      <c r="H11" s="2">
        <v>8</v>
      </c>
      <c r="I11" s="2">
        <v>16</v>
      </c>
      <c r="J11">
        <f t="shared" si="1"/>
        <v>128</v>
      </c>
      <c r="K11">
        <f t="shared" si="1"/>
        <v>2048</v>
      </c>
      <c r="L11">
        <v>4.4999999999999998E-2</v>
      </c>
      <c r="M11">
        <f>$S$2*3*512*R11/Q11</f>
        <v>25920</v>
      </c>
      <c r="N11">
        <f t="shared" si="2"/>
        <v>86400</v>
      </c>
      <c r="O11">
        <f t="shared" si="3"/>
        <v>80724.375</v>
      </c>
      <c r="P11">
        <f t="shared" si="4"/>
        <v>2910</v>
      </c>
      <c r="Q11">
        <v>16</v>
      </c>
      <c r="R11">
        <v>30</v>
      </c>
      <c r="W11" s="11">
        <v>0.05</v>
      </c>
      <c r="Y11" s="14">
        <v>3</v>
      </c>
      <c r="Z11">
        <f>IF($Y11=1, $X$33*($W$33*$I$33)/(W11*I11),
 IF($Y11=2, $X$34*($W$34*$I$34)/(W11*I11),
 IF($Y11=3, $X$35*($W$35*$I$35)/(W11*I11),
 "")))</f>
        <v>164683.75000000003</v>
      </c>
      <c r="AA11">
        <f>IF($Y11=1, $AA$33*($W$33*$I$33)/(W11*I11),
 IF($Y11=2, $AA$34*($W$34*$I$34)/(W11*I11),
 IF($Y11=3, $AA$35*($W$35*$I$35)/(W11*I11),
 "")))</f>
        <v>975108.75000000012</v>
      </c>
      <c r="AB11">
        <f>IF($Y11=1, $AB$33*($W$33*$I$33)/(W11*I11),
 IF($Y11=2, $AB$34*($W$34*$I$34)/(W11*I11),
 IF($Y11=3, $AB$35*($W$35*$I$35)/(W11*I11),
 "")))</f>
        <v>636308.75000000012</v>
      </c>
      <c r="AC11">
        <f>IF($Y11=1, $AC$33*($W$33*$I$33)/(W11*I11),
 IF($Y11=2, $AC$34*($W$34*$I$34)/(W11*I11),
 IF($Y11=3, $AC$33*($W$33*$I$33)/(W11*I11),
 "")))</f>
        <v>6735976.7999999998</v>
      </c>
    </row>
    <row r="12" spans="1:29" x14ac:dyDescent="0.25">
      <c r="A12" t="s">
        <v>29</v>
      </c>
      <c r="B12" t="s">
        <v>75</v>
      </c>
      <c r="C12">
        <v>0</v>
      </c>
      <c r="D12">
        <v>7</v>
      </c>
      <c r="E12">
        <v>7</v>
      </c>
      <c r="F12">
        <f t="shared" si="0"/>
        <v>49</v>
      </c>
      <c r="G12">
        <v>3.6</v>
      </c>
      <c r="H12" s="2">
        <v>32</v>
      </c>
      <c r="I12" s="2">
        <v>32</v>
      </c>
      <c r="J12">
        <f t="shared" si="1"/>
        <v>1024</v>
      </c>
      <c r="K12">
        <f t="shared" si="1"/>
        <v>32768</v>
      </c>
      <c r="L12">
        <v>1.8689999999999998E-2</v>
      </c>
      <c r="M12">
        <f>$S$2*3*512*R12/Q12</f>
        <v>12567.272727272728</v>
      </c>
      <c r="N12">
        <f t="shared" si="2"/>
        <v>41890.909090909088</v>
      </c>
      <c r="O12">
        <f t="shared" si="3"/>
        <v>39139.090909090912</v>
      </c>
      <c r="P12">
        <f t="shared" si="4"/>
        <v>1410.909090909091</v>
      </c>
      <c r="Q12">
        <v>33</v>
      </c>
      <c r="R12">
        <v>30</v>
      </c>
      <c r="W12" s="11">
        <v>0.18</v>
      </c>
      <c r="Y12" s="14">
        <v>3</v>
      </c>
      <c r="Z12">
        <f>IF($Y12=1, $X$33*($W$33*$I$33)/(W12*I12),
 IF($Y12=2, $X$34*($W$34*$I$34)/(W12*I12),
 IF($Y12=3, $X$35*($W$35*$I$35)/(W12*I12),
 "")))</f>
        <v>22872.743055555562</v>
      </c>
      <c r="AA12">
        <f>IF($Y12=1, $AA$33*($W$33*$I$33)/(W12*I12),
 IF($Y12=2, $AA$34*($W$34*$I$34)/(W12*I12),
 IF($Y12=3, $AA$35*($W$35*$I$35)/(W12*I12),
 "")))</f>
        <v>135431.77083333337</v>
      </c>
      <c r="AB12">
        <f>IF($Y12=1, $AB$33*($W$33*$I$33)/(W12*I12),
 IF($Y12=2, $AB$34*($W$34*$I$34)/(W12*I12),
 IF($Y12=3, $AB$35*($W$35*$I$35)/(W12*I12),
 "")))</f>
        <v>88376.215277777796</v>
      </c>
      <c r="AC12">
        <f>IF($Y12=1, $AC$33*($W$33*$I$33)/(W12*I12),
 IF($Y12=2, $AC$34*($W$34*$I$34)/(W12*I12),
 IF($Y12=3, $AC$33*($W$33*$I$33)/(W12*I12),
 "")))</f>
        <v>935552.33333333349</v>
      </c>
    </row>
    <row r="13" spans="1:29" s="7" customFormat="1" x14ac:dyDescent="0.25">
      <c r="A13" s="7" t="s">
        <v>33</v>
      </c>
      <c r="B13" s="7" t="s">
        <v>75</v>
      </c>
      <c r="C13" s="7">
        <v>0</v>
      </c>
      <c r="D13" s="7">
        <v>27</v>
      </c>
      <c r="E13" s="7">
        <v>27</v>
      </c>
      <c r="F13" s="7">
        <f t="shared" si="0"/>
        <v>729</v>
      </c>
      <c r="G13" s="7">
        <v>0.84</v>
      </c>
      <c r="H13" s="8">
        <v>32</v>
      </c>
      <c r="I13" s="8">
        <v>2000</v>
      </c>
      <c r="J13" s="7">
        <f t="shared" si="1"/>
        <v>64000</v>
      </c>
      <c r="K13" s="7">
        <f t="shared" si="1"/>
        <v>128000000</v>
      </c>
      <c r="L13" s="7">
        <v>17</v>
      </c>
      <c r="M13">
        <f>($S$2*3*512*R13/Q13)/10^6</f>
        <v>8.6399999999999997E-4</v>
      </c>
      <c r="N13">
        <f>$T$2*3*R13/Q13/10^6</f>
        <v>2.8800000000000002E-3</v>
      </c>
      <c r="O13">
        <f>$U$2*3*R13/Q13/10^6</f>
        <v>2.6908125000000001E-3</v>
      </c>
      <c r="P13">
        <f>$V$2*R13/Q13/10^6</f>
        <v>9.7E-5</v>
      </c>
      <c r="Q13" s="15">
        <v>16</v>
      </c>
      <c r="R13" s="7">
        <v>1</v>
      </c>
      <c r="W13" s="18">
        <v>0.8</v>
      </c>
      <c r="Y13" s="19">
        <v>2</v>
      </c>
      <c r="Z13" s="7">
        <f>IF($Y13=1, $X$33*($W$33*$I$33)/(W13*I13),
 IF($Y13=2, $X$34*($W$34*$I$34)/(W13*I13),
 IF($Y13=3, $X$35*($W$35*$I$35)/(W13*I13),
 "")))</f>
        <v>3021.9</v>
      </c>
      <c r="AA13" s="7">
        <f>IF($Y13=1, $AA$33*($W$33*$I$33)/(W13*I13),
 IF($Y13=2, $AA$34*($W$34*$I$34)/(W13*I13),
 IF($Y13=3, $AA$35*($W$35*$I$35)/(W13*I13),
 "")))</f>
        <v>7012.8</v>
      </c>
      <c r="AB13" s="7">
        <f>IF($Y13=1, $AB$33*($W$33*$I$33)/(W13*I13),
 IF($Y13=2, $AB$34*($W$34*$I$34)/(W13*I13),
 IF($Y13=3, $AB$35*($W$35*$I$35)/(W13*I13),
 "")))</f>
        <v>7299.9</v>
      </c>
      <c r="AC13" s="7">
        <f>IF($Y13=1, $AC$33*($W$33*$I$33)/(W13*I13),
 IF($Y13=2, $AC$34*($W$34*$I$34)/(W13*I13),
 IF($Y13=3, $AC$33*($W$33*$I$33)/(W13*I13),
 "")))</f>
        <v>1084.6500000000001</v>
      </c>
    </row>
    <row r="14" spans="1:29" x14ac:dyDescent="0.25">
      <c r="A14" t="s">
        <v>34</v>
      </c>
      <c r="B14" t="s">
        <v>75</v>
      </c>
      <c r="C14">
        <v>0</v>
      </c>
      <c r="D14">
        <v>13</v>
      </c>
      <c r="E14">
        <v>13</v>
      </c>
      <c r="F14">
        <f t="shared" si="0"/>
        <v>169</v>
      </c>
      <c r="G14">
        <v>1.2</v>
      </c>
      <c r="H14" s="2">
        <v>32</v>
      </c>
      <c r="I14" s="2">
        <v>400</v>
      </c>
      <c r="J14">
        <f t="shared" si="1"/>
        <v>12800</v>
      </c>
      <c r="K14">
        <f t="shared" si="1"/>
        <v>5120000</v>
      </c>
      <c r="L14">
        <v>0.69199999999999995</v>
      </c>
      <c r="M14">
        <f>$S$2*3*512*R14/Q14</f>
        <v>518.4</v>
      </c>
      <c r="N14">
        <f>$T$2*3*R14/Q14</f>
        <v>1728</v>
      </c>
      <c r="O14">
        <f t="shared" si="3"/>
        <v>1614.4875</v>
      </c>
      <c r="P14">
        <f t="shared" si="4"/>
        <v>58.2</v>
      </c>
      <c r="Q14">
        <v>800</v>
      </c>
      <c r="R14">
        <v>30</v>
      </c>
      <c r="W14" s="11">
        <v>0.24</v>
      </c>
      <c r="Y14" s="14">
        <v>1</v>
      </c>
      <c r="Z14">
        <f>IF($Y14=1, $X$33*($W$33*$I$33)/(W14*I14),
 IF($Y14=2, $X$34*($W$34*$I$34)/(W14*I14),
 IF($Y14=3, $X$35*($W$35*$I$35)/(W14*I14),
 "")))</f>
        <v>69496.350000000006</v>
      </c>
      <c r="AA14">
        <f>IF($Y14=1, $AA$33*($W$33*$I$33)/(W14*I14),
 IF($Y14=2, $AA$34*($W$34*$I$34)/(W14*I14),
 IF($Y14=3, $AA$35*($W$35*$I$35)/(W14*I14),
 "")))</f>
        <v>139393.83333333334</v>
      </c>
      <c r="AB14">
        <f>IF($Y14=1, $AB$33*($W$33*$I$33)/(W14*I14),
 IF($Y14=2, $AB$34*($W$34*$I$34)/(W14*I14),
 IF($Y14=3, $AB$35*($W$35*$I$35)/(W14*I14),
 "")))</f>
        <v>141370.32666666666</v>
      </c>
      <c r="AC14">
        <f>IF($Y14=1, $AC$33*($W$33*$I$33)/(W14*I14),
 IF($Y14=2, $AC$34*($W$34*$I$34)/(W14*I14),
 IF($Y14=3, $AC$33*($W$33*$I$33)/(W14*I14),
 "")))</f>
        <v>56133.140000000007</v>
      </c>
    </row>
    <row r="15" spans="1:29" x14ac:dyDescent="0.25">
      <c r="A15" t="s">
        <v>35</v>
      </c>
      <c r="B15" t="s">
        <v>75</v>
      </c>
      <c r="C15">
        <v>0</v>
      </c>
      <c r="D15">
        <v>23</v>
      </c>
      <c r="E15">
        <v>23</v>
      </c>
      <c r="F15">
        <f t="shared" si="0"/>
        <v>529</v>
      </c>
      <c r="G15">
        <v>0.8</v>
      </c>
      <c r="H15" s="2">
        <v>32</v>
      </c>
      <c r="I15" s="2">
        <v>2000</v>
      </c>
      <c r="J15">
        <f t="shared" si="1"/>
        <v>64000</v>
      </c>
      <c r="K15">
        <f t="shared" si="1"/>
        <v>128000000</v>
      </c>
      <c r="L15">
        <v>13</v>
      </c>
      <c r="M15">
        <f>$S$2*3*512*R15/Q15/10^6</f>
        <v>1.7279999999999999E-3</v>
      </c>
      <c r="N15">
        <f>$T$2*3*R15/Q15/10^6</f>
        <v>5.7600000000000004E-3</v>
      </c>
      <c r="O15">
        <f>$U$2*3*R15/Q15/10^6</f>
        <v>5.3816250000000001E-3</v>
      </c>
      <c r="P15">
        <f>$V$2*R15/Q15/10^6</f>
        <v>1.94E-4</v>
      </c>
      <c r="Q15" s="15">
        <v>8</v>
      </c>
      <c r="R15">
        <v>1</v>
      </c>
      <c r="W15" s="11">
        <v>0.8</v>
      </c>
      <c r="Y15" s="14">
        <v>1</v>
      </c>
      <c r="Z15">
        <f>IF($Y15=1, $X$33*($W$33*$I$33)/(W15*I15),
 IF($Y15=2, $X$34*($W$34*$I$34)/(W15*I15),
 IF($Y15=3, $X$35*($W$35*$I$35)/(W15*I15),
 "")))</f>
        <v>4169.7809999999999</v>
      </c>
      <c r="AA15">
        <f>IF($Y15=1, $AA$33*($W$33*$I$33)/(W15*I15),
 IF($Y15=2, $AA$34*($W$34*$I$34)/(W15*I15),
 IF($Y15=3, $AA$35*($W$35*$I$35)/(W15*I15),
 "")))</f>
        <v>8363.6299999999992</v>
      </c>
      <c r="AB15">
        <f>IF($Y15=1, $AB$33*($W$33*$I$33)/(W15*I15),
 IF($Y15=2, $AB$34*($W$34*$I$34)/(W15*I15),
 IF($Y15=3, $AB$35*($W$35*$I$35)/(W15*I15),
 "")))</f>
        <v>8482.2196000000004</v>
      </c>
      <c r="AC15">
        <f>IF($Y15=1, $AC$33*($W$33*$I$33)/(W15*I15),
 IF($Y15=2, $AC$34*($W$34*$I$34)/(W15*I15),
 IF($Y15=3, $AC$33*($W$33*$I$33)/(W15*I15),
 "")))</f>
        <v>3367.9884000000002</v>
      </c>
    </row>
    <row r="16" spans="1:29" s="7" customFormat="1" x14ac:dyDescent="0.25">
      <c r="A16" s="7" t="s">
        <v>36</v>
      </c>
      <c r="B16" s="7" t="s">
        <v>75</v>
      </c>
      <c r="C16" s="7">
        <v>0</v>
      </c>
      <c r="D16" s="7">
        <v>17.2</v>
      </c>
      <c r="E16" s="7">
        <v>17.2</v>
      </c>
      <c r="F16" s="7">
        <f t="shared" si="0"/>
        <v>295.83999999999997</v>
      </c>
      <c r="G16" s="7">
        <v>0.75</v>
      </c>
      <c r="H16" s="8">
        <v>32</v>
      </c>
      <c r="I16" s="8">
        <v>400</v>
      </c>
      <c r="J16" s="7">
        <f t="shared" si="1"/>
        <v>12800</v>
      </c>
      <c r="K16" s="7">
        <f t="shared" si="1"/>
        <v>5120000</v>
      </c>
      <c r="L16" s="7">
        <v>0.5</v>
      </c>
      <c r="M16">
        <f>$S$2*3*512*R16/Q16</f>
        <v>1.0732919254658384</v>
      </c>
      <c r="N16">
        <f t="shared" si="2"/>
        <v>3.5776397515527951</v>
      </c>
      <c r="O16">
        <f>$U$2*3*R16/Q16/10^6</f>
        <v>3.3426242236024842E-6</v>
      </c>
      <c r="P16">
        <f>$V$2*R16/Q16</f>
        <v>0.12049689440993788</v>
      </c>
      <c r="Q16" s="7">
        <v>12880</v>
      </c>
      <c r="R16" s="7">
        <v>1</v>
      </c>
      <c r="W16" s="18">
        <v>0.45</v>
      </c>
      <c r="Y16" s="19">
        <v>3</v>
      </c>
      <c r="Z16" s="7">
        <f>IF($Y16=1, $X$33*($W$33*$I$33)/(W16*I16),
 IF($Y16=2, $X$34*($W$34*$I$34)/(W16*I16),
 IF($Y16=3, $X$35*($W$35*$I$35)/(W16*I16),
 "")))</f>
        <v>731.92777777777792</v>
      </c>
      <c r="AA16" s="7">
        <f>IF($Y16=1, $AA$33*($W$33*$I$33)/(W16*I16),
 IF($Y16=2, $AA$34*($W$34*$I$34)/(W16*I16),
 IF($Y16=3, $AA$35*($W$35*$I$35)/(W16*I16),
 "")))</f>
        <v>4333.8166666666675</v>
      </c>
      <c r="AB16" s="7">
        <f>IF($Y16=1, $AB$33*($W$33*$I$33)/(W16*I16),
 IF($Y16=2, $AB$34*($W$34*$I$34)/(W16*I16),
 IF($Y16=3, $AB$35*($W$35*$I$35)/(W16*I16),
 "")))</f>
        <v>2828.0388888888897</v>
      </c>
      <c r="AC16" s="7">
        <f>IF($Y16=1, $AC$33*($W$33*$I$33)/(W16*I16),
 IF($Y16=2, $AC$34*($W$34*$I$34)/(W16*I16),
 IF($Y16=3, $AC$33*($W$33*$I$33)/(W16*I16),
 "")))</f>
        <v>29937.67466666667</v>
      </c>
    </row>
    <row r="17" spans="1:29" x14ac:dyDescent="0.25">
      <c r="A17" t="s">
        <v>37</v>
      </c>
      <c r="B17" t="s">
        <v>75</v>
      </c>
      <c r="C17">
        <v>0</v>
      </c>
      <c r="D17">
        <v>18</v>
      </c>
      <c r="E17">
        <v>18</v>
      </c>
      <c r="F17">
        <f t="shared" si="0"/>
        <v>324</v>
      </c>
      <c r="G17">
        <v>1.05</v>
      </c>
      <c r="H17" s="2">
        <v>64</v>
      </c>
      <c r="I17" s="2">
        <v>800</v>
      </c>
      <c r="J17">
        <f t="shared" si="1"/>
        <v>51200</v>
      </c>
      <c r="K17">
        <f t="shared" si="1"/>
        <v>40960000</v>
      </c>
      <c r="L17">
        <v>3</v>
      </c>
      <c r="M17">
        <f>$S$2*3*512*R17/Q17/10^6</f>
        <v>6.9119999999999997E-3</v>
      </c>
      <c r="N17">
        <f t="shared" si="2"/>
        <v>23040</v>
      </c>
      <c r="O17">
        <f>$U$2*3*R17/Q17/10^6</f>
        <v>2.15265E-2</v>
      </c>
      <c r="P17">
        <f>$V$2*R17/Q17/10^6</f>
        <v>7.76E-4</v>
      </c>
      <c r="Q17" s="15">
        <v>2</v>
      </c>
      <c r="R17">
        <v>1</v>
      </c>
      <c r="W17" s="11">
        <v>0.8</v>
      </c>
      <c r="Y17" s="14">
        <v>1</v>
      </c>
      <c r="Z17">
        <f>IF($Y17=1, $X$33*($W$33*$I$33)/(W17*I17),
 IF($Y17=2, $X$34*($W$34*$I$34)/(W17*I17),
 IF($Y17=3, $X$35*($W$35*$I$35)/(W17*I17),
 "")))</f>
        <v>10424.452500000001</v>
      </c>
      <c r="AA17">
        <f>IF($Y17=1, $AA$33*($W$33*$I$33)/(W17*I17),
 IF($Y17=2, $AA$34*($W$34*$I$34)/(W17*I17),
 IF($Y17=3, $AA$35*($W$35*$I$35)/(W17*I17),
 "")))</f>
        <v>20909.075000000001</v>
      </c>
      <c r="AB17">
        <f>IF($Y17=1, $AB$33*($W$33*$I$33)/(W17*I17),
 IF($Y17=2, $AB$34*($W$34*$I$34)/(W17*I17),
 IF($Y17=3, $AB$35*($W$35*$I$35)/(W17*I17),
 "")))</f>
        <v>21205.548999999999</v>
      </c>
      <c r="AC17">
        <f>IF($Y17=1, $AC$33*($W$33*$I$33)/(W17*I17),
 IF($Y17=2, $AC$34*($W$34*$I$34)/(W17*I17),
 IF($Y17=3, $AC$33*($W$33*$I$33)/(W17*I17),
 "")))</f>
        <v>8419.9710000000014</v>
      </c>
    </row>
    <row r="18" spans="1:29" x14ac:dyDescent="0.25">
      <c r="A18" t="s">
        <v>38</v>
      </c>
      <c r="B18" t="s">
        <v>75</v>
      </c>
      <c r="C18">
        <v>0</v>
      </c>
      <c r="D18">
        <v>31</v>
      </c>
      <c r="E18">
        <v>31</v>
      </c>
      <c r="F18">
        <f t="shared" si="0"/>
        <v>961</v>
      </c>
      <c r="G18">
        <v>1.05</v>
      </c>
      <c r="H18" s="2">
        <v>64</v>
      </c>
      <c r="I18" s="2">
        <v>1000</v>
      </c>
      <c r="J18">
        <f t="shared" si="1"/>
        <v>64000</v>
      </c>
      <c r="K18">
        <f t="shared" si="1"/>
        <v>64000000</v>
      </c>
      <c r="L18">
        <v>19</v>
      </c>
      <c r="M18">
        <f>$S$2*3*512*R18/Q18/10^6</f>
        <v>4.3199999999999998E-4</v>
      </c>
      <c r="N18">
        <f>$T$2*3*R18/Q18/10^6</f>
        <v>1.4400000000000001E-3</v>
      </c>
      <c r="O18">
        <f>$U$2*3*R18/Q18/10^6</f>
        <v>1.34540625E-3</v>
      </c>
      <c r="P18">
        <f>$V$2*R18/Q18/10^6</f>
        <v>4.85E-5</v>
      </c>
      <c r="Q18" s="15">
        <v>32</v>
      </c>
      <c r="R18">
        <v>1</v>
      </c>
      <c r="W18" s="11">
        <v>0.8</v>
      </c>
      <c r="Y18" s="14">
        <v>2</v>
      </c>
      <c r="Z18">
        <f>IF($Y18=1, $X$33*($W$33*$I$33)/(W18*I18),
 IF($Y18=2, $X$34*($W$34*$I$34)/(W18*I18),
 IF($Y18=3, $X$35*($W$35*$I$35)/(W18*I18),
 "")))</f>
        <v>6043.8</v>
      </c>
      <c r="AA18">
        <f>IF($Y18=1, $AA$33*($W$33*$I$33)/(W18*I18),
 IF($Y18=2, $AA$34*($W$34*$I$34)/(W18*I18),
 IF($Y18=3, $AA$35*($W$35*$I$35)/(W18*I18),
 "")))</f>
        <v>14025.6</v>
      </c>
      <c r="AB18">
        <f>IF($Y18=1, $AB$33*($W$33*$I$33)/(W18*I18),
 IF($Y18=2, $AB$34*($W$34*$I$34)/(W18*I18),
 IF($Y18=3, $AB$35*($W$35*$I$35)/(W18*I18),
 "")))</f>
        <v>14599.8</v>
      </c>
      <c r="AC18">
        <f>IF($Y18=1, $AC$33*($W$33*$I$33)/(W18*I18),
 IF($Y18=2, $AC$34*($W$34*$I$34)/(W18*I18),
 IF($Y18=3, $AC$33*($W$33*$I$33)/(W18*I18),
 "")))</f>
        <v>2169.3000000000002</v>
      </c>
    </row>
    <row r="19" spans="1:29" x14ac:dyDescent="0.25">
      <c r="A19" t="s">
        <v>39</v>
      </c>
      <c r="B19" t="s">
        <v>75</v>
      </c>
      <c r="C19">
        <v>0</v>
      </c>
      <c r="D19">
        <v>24</v>
      </c>
      <c r="E19">
        <v>24</v>
      </c>
      <c r="F19">
        <f t="shared" si="0"/>
        <v>576</v>
      </c>
      <c r="G19">
        <v>0.84</v>
      </c>
      <c r="H19" s="2">
        <v>64</v>
      </c>
      <c r="I19" s="2">
        <v>1000</v>
      </c>
      <c r="J19">
        <f t="shared" si="1"/>
        <v>64000</v>
      </c>
      <c r="K19">
        <f t="shared" si="1"/>
        <v>64000000</v>
      </c>
      <c r="L19">
        <v>6</v>
      </c>
      <c r="M19">
        <f>$S$2*3*512*R19/Q19/10^6</f>
        <v>1.7279999999999999E-3</v>
      </c>
      <c r="N19">
        <f>$T$2*3*R19/Q19/10^6</f>
        <v>5.7600000000000004E-3</v>
      </c>
      <c r="O19">
        <f>$U$2*3*R19/Q19/10^6</f>
        <v>5.3816250000000001E-3</v>
      </c>
      <c r="P19">
        <f>$V$2*R19/Q19/10^6</f>
        <v>1.94E-4</v>
      </c>
      <c r="Q19" s="15">
        <v>8</v>
      </c>
      <c r="R19">
        <v>1</v>
      </c>
      <c r="W19" s="11">
        <v>0.8</v>
      </c>
      <c r="Y19" s="14">
        <v>2</v>
      </c>
      <c r="Z19">
        <f>IF($Y19=1, $X$33*($W$33*$I$33)/(W19*I19),
 IF($Y19=2, $X$34*($W$34*$I$34)/(W19*I19),
 IF($Y19=3, $X$35*($W$35*$I$35)/(W19*I19),
 "")))</f>
        <v>6043.8</v>
      </c>
      <c r="AA19">
        <f>IF($Y19=1, $AA$33*($W$33*$I$33)/(W19*I19),
 IF($Y19=2, $AA$34*($W$34*$I$34)/(W19*I19),
 IF($Y19=3, $AA$35*($W$35*$I$35)/(W19*I19),
 "")))</f>
        <v>14025.6</v>
      </c>
      <c r="AB19">
        <f>IF($Y19=1, $AB$33*($W$33*$I$33)/(W19*I19),
 IF($Y19=2, $AB$34*($W$34*$I$34)/(W19*I19),
 IF($Y19=3, $AB$35*($W$35*$I$35)/(W19*I19),
 "")))</f>
        <v>14599.8</v>
      </c>
      <c r="AC19">
        <f>IF($Y19=1, $AC$33*($W$33*$I$33)/(W19*I19),
 IF($Y19=2, $AC$34*($W$34*$I$34)/(W19*I19),
 IF($Y19=3, $AC$33*($W$33*$I$33)/(W19*I19),
 "")))</f>
        <v>2169.3000000000002</v>
      </c>
    </row>
    <row r="20" spans="1:29" x14ac:dyDescent="0.25">
      <c r="A20" t="s">
        <v>40</v>
      </c>
      <c r="B20" t="s">
        <v>75</v>
      </c>
      <c r="C20">
        <v>0</v>
      </c>
      <c r="D20">
        <v>23</v>
      </c>
      <c r="E20">
        <v>23</v>
      </c>
      <c r="F20">
        <f t="shared" si="0"/>
        <v>529</v>
      </c>
      <c r="G20">
        <v>1.05</v>
      </c>
      <c r="H20" s="2">
        <v>64</v>
      </c>
      <c r="I20" s="2">
        <v>1000</v>
      </c>
      <c r="J20">
        <f t="shared" si="1"/>
        <v>64000</v>
      </c>
      <c r="K20">
        <f t="shared" si="1"/>
        <v>64000000</v>
      </c>
      <c r="L20">
        <v>11</v>
      </c>
      <c r="M20">
        <f>$S$2*3*512*R20/Q20/10^6</f>
        <v>1.7279999999999999E-3</v>
      </c>
      <c r="N20">
        <f>$T$2*3*R20/Q20/10^6</f>
        <v>5.7600000000000004E-3</v>
      </c>
      <c r="O20">
        <f>$U$2*3*R20/Q20/10^6</f>
        <v>5.3816250000000001E-3</v>
      </c>
      <c r="P20">
        <f>$V$2*R20/Q20/10^6</f>
        <v>1.94E-4</v>
      </c>
      <c r="Q20" s="15">
        <v>8</v>
      </c>
      <c r="R20">
        <v>1</v>
      </c>
      <c r="W20" s="11">
        <v>0.8</v>
      </c>
      <c r="Y20" s="14">
        <v>1</v>
      </c>
      <c r="Z20">
        <f>IF($Y20=1, $X$33*($W$33*$I$33)/(W20*I20),
 IF($Y20=2, $X$34*($W$34*$I$34)/(W20*I20),
 IF($Y20=3, $X$35*($W$35*$I$35)/(W20*I20),
 "")))</f>
        <v>8339.5619999999999</v>
      </c>
      <c r="AA20">
        <f>IF($Y20=1, $AA$33*($W$33*$I$33)/(W20*I20),
 IF($Y20=2, $AA$34*($W$34*$I$34)/(W20*I20),
 IF($Y20=3, $AA$35*($W$35*$I$35)/(W20*I20),
 "")))</f>
        <v>16727.259999999998</v>
      </c>
      <c r="AB20">
        <f>IF($Y20=1, $AB$33*($W$33*$I$33)/(W20*I20),
 IF($Y20=2, $AB$34*($W$34*$I$34)/(W20*I20),
 IF($Y20=3, $AB$35*($W$35*$I$35)/(W20*I20),
 "")))</f>
        <v>16964.439200000001</v>
      </c>
      <c r="AC20">
        <f>IF($Y20=1, $AC$33*($W$33*$I$33)/(W20*I20),
 IF($Y20=2, $AC$34*($W$34*$I$34)/(W20*I20),
 IF($Y20=3, $AC$33*($W$33*$I$33)/(W20*I20),
 "")))</f>
        <v>6735.9768000000004</v>
      </c>
    </row>
    <row r="21" spans="1:29" x14ac:dyDescent="0.25">
      <c r="A21" t="s">
        <v>41</v>
      </c>
      <c r="B21" t="s">
        <v>75</v>
      </c>
      <c r="C21">
        <v>0</v>
      </c>
      <c r="D21">
        <v>23</v>
      </c>
      <c r="E21">
        <v>23</v>
      </c>
      <c r="F21">
        <f t="shared" si="0"/>
        <v>529</v>
      </c>
      <c r="G21">
        <v>1.05</v>
      </c>
      <c r="H21" s="2">
        <v>64</v>
      </c>
      <c r="I21" s="2">
        <v>1000</v>
      </c>
      <c r="J21">
        <f t="shared" si="1"/>
        <v>64000</v>
      </c>
      <c r="K21">
        <f t="shared" si="1"/>
        <v>64000000</v>
      </c>
      <c r="L21">
        <v>6</v>
      </c>
      <c r="M21">
        <f>$S$2*3*512*R21/Q21/10^6</f>
        <v>3.4559999999999999E-3</v>
      </c>
      <c r="N21">
        <f>$T$2*3*R21/Q21/10^6</f>
        <v>1.1520000000000001E-2</v>
      </c>
      <c r="O21">
        <f>$U$2*3*R21/Q21/10^6</f>
        <v>1.076325E-2</v>
      </c>
      <c r="P21">
        <f>$V$2*R21/Q21/10^6</f>
        <v>3.88E-4</v>
      </c>
      <c r="Q21" s="15">
        <v>4</v>
      </c>
      <c r="R21">
        <v>1</v>
      </c>
      <c r="W21" s="11">
        <v>0.8</v>
      </c>
      <c r="Y21" s="14">
        <v>1</v>
      </c>
      <c r="Z21">
        <f>IF($Y21=1, $X$33*($W$33*$I$33)/(W21*I21),
 IF($Y21=2, $X$34*($W$34*$I$34)/(W21*I21),
 IF($Y21=3, $X$35*($W$35*$I$35)/(W21*I21),
 "")))</f>
        <v>8339.5619999999999</v>
      </c>
      <c r="AA21">
        <f>IF($Y21=1, $AA$33*($W$33*$I$33)/(W21*I21),
 IF($Y21=2, $AA$34*($W$34*$I$34)/(W21*I21),
 IF($Y21=3, $AA$35*($W$35*$I$35)/(W21*I21),
 "")))</f>
        <v>16727.259999999998</v>
      </c>
      <c r="AB21">
        <f>IF($Y21=1, $AB$33*($W$33*$I$33)/(W21*I21),
 IF($Y21=2, $AB$34*($W$34*$I$34)/(W21*I21),
 IF($Y21=3, $AB$35*($W$35*$I$35)/(W21*I21),
 "")))</f>
        <v>16964.439200000001</v>
      </c>
      <c r="AC21">
        <f>IF($Y21=1, $AC$33*($W$33*$I$33)/(W21*I21),
 IF($Y21=2, $AC$34*($W$34*$I$34)/(W21*I21),
 IF($Y21=3, $AC$33*($W$33*$I$33)/(W21*I21),
 "")))</f>
        <v>6735.9768000000004</v>
      </c>
    </row>
    <row r="22" spans="1:29" x14ac:dyDescent="0.25">
      <c r="A22" t="s">
        <v>42</v>
      </c>
      <c r="B22" t="s">
        <v>75</v>
      </c>
      <c r="C22">
        <v>0</v>
      </c>
      <c r="D22">
        <v>10</v>
      </c>
      <c r="E22">
        <v>10</v>
      </c>
      <c r="F22">
        <f t="shared" si="0"/>
        <v>100</v>
      </c>
      <c r="G22">
        <v>3.6</v>
      </c>
      <c r="H22" s="2">
        <v>32</v>
      </c>
      <c r="I22" s="2">
        <v>120</v>
      </c>
      <c r="J22">
        <f t="shared" si="1"/>
        <v>3840</v>
      </c>
      <c r="K22">
        <f t="shared" si="1"/>
        <v>460800</v>
      </c>
      <c r="L22">
        <v>0.16200000000000001</v>
      </c>
      <c r="M22">
        <f>$S$2*3*512*R22/Q22</f>
        <v>2764.8</v>
      </c>
      <c r="N22">
        <f t="shared" si="2"/>
        <v>9216</v>
      </c>
      <c r="O22">
        <f t="shared" si="3"/>
        <v>8610.6</v>
      </c>
      <c r="P22">
        <f t="shared" si="4"/>
        <v>310.39999999999998</v>
      </c>
      <c r="Q22">
        <v>150</v>
      </c>
      <c r="R22">
        <v>30</v>
      </c>
      <c r="W22" s="11">
        <v>0.18</v>
      </c>
      <c r="Y22" s="14">
        <v>3</v>
      </c>
      <c r="Z22">
        <f>IF($Y22=1, $X$33*($W$33*$I$33)/(W22*I22),
 IF($Y22=2, $X$34*($W$34*$I$34)/(W22*I22),
 IF($Y22=3, $X$35*($W$35*$I$35)/(W22*I22),
 "")))</f>
        <v>6099.3981481481505</v>
      </c>
      <c r="AA22">
        <f>IF($Y22=1, $AA$33*($W$33*$I$33)/(W22*I22),
 IF($Y22=2, $AA$34*($W$34*$I$34)/(W22*I22),
 IF($Y22=3, $AA$35*($W$35*$I$35)/(W22*I22),
 "")))</f>
        <v>36115.138888888898</v>
      </c>
      <c r="AB22">
        <f>IF($Y22=1, $AB$33*($W$33*$I$33)/(W22*I22),
 IF($Y22=2, $AB$34*($W$34*$I$34)/(W22*I22),
 IF($Y22=3, $AB$35*($W$35*$I$35)/(W22*I22),
 "")))</f>
        <v>23566.990740740748</v>
      </c>
      <c r="AC22">
        <f>IF($Y22=1, $AC$33*($W$33*$I$33)/(W22*I22),
 IF($Y22=2, $AC$34*($W$34*$I$34)/(W22*I22),
 IF($Y22=3, $AC$33*($W$33*$I$33)/(W22*I22),
 "")))</f>
        <v>249480.62222222227</v>
      </c>
    </row>
    <row r="23" spans="1:29" x14ac:dyDescent="0.25">
      <c r="A23" t="s">
        <v>43</v>
      </c>
      <c r="B23" t="s">
        <v>75</v>
      </c>
      <c r="C23">
        <v>0</v>
      </c>
      <c r="D23">
        <v>24</v>
      </c>
      <c r="E23">
        <v>24</v>
      </c>
      <c r="F23">
        <f t="shared" si="0"/>
        <v>576</v>
      </c>
      <c r="G23">
        <v>4</v>
      </c>
      <c r="H23" s="2">
        <v>32</v>
      </c>
      <c r="I23" s="2">
        <v>168</v>
      </c>
      <c r="J23">
        <f t="shared" si="1"/>
        <v>5376</v>
      </c>
      <c r="K23">
        <f t="shared" si="1"/>
        <v>903168</v>
      </c>
      <c r="L23">
        <v>0.14199999999999999</v>
      </c>
      <c r="M23">
        <f>$S$2*3*512*R23/Q23</f>
        <v>65.828571428571422</v>
      </c>
      <c r="N23">
        <f t="shared" si="2"/>
        <v>219.42857142857142</v>
      </c>
      <c r="O23">
        <f t="shared" si="3"/>
        <v>205.01428571428571</v>
      </c>
      <c r="P23">
        <f t="shared" si="4"/>
        <v>7.3904761904761909</v>
      </c>
      <c r="Q23">
        <v>210</v>
      </c>
      <c r="R23">
        <v>1</v>
      </c>
      <c r="W23" s="11">
        <v>0.2</v>
      </c>
      <c r="Y23" s="14">
        <v>3</v>
      </c>
      <c r="Z23">
        <f>IF($Y23=1, $X$33*($W$33*$I$33)/(W23*I23),
 IF($Y23=2, $X$34*($W$34*$I$34)/(W23*I23),
 IF($Y23=3, $X$35*($W$35*$I$35)/(W23*I23),
 "")))</f>
        <v>3921.0416666666674</v>
      </c>
      <c r="AA23">
        <f>IF($Y23=1, $AA$33*($W$33*$I$33)/(W23*I23),
 IF($Y23=2, $AA$34*($W$34*$I$34)/(W23*I23),
 IF($Y23=3, $AA$35*($W$35*$I$35)/(W23*I23),
 "")))</f>
        <v>23216.875000000004</v>
      </c>
      <c r="AB23">
        <f>IF($Y23=1, $AB$33*($W$33*$I$33)/(W23*I23),
 IF($Y23=2, $AB$34*($W$34*$I$34)/(W23*I23),
 IF($Y23=3, $AB$35*($W$35*$I$35)/(W23*I23),
 "")))</f>
        <v>15150.208333333336</v>
      </c>
      <c r="AC23">
        <f>IF($Y23=1, $AC$33*($W$33*$I$33)/(W23*I23),
 IF($Y23=2, $AC$34*($W$34*$I$34)/(W23*I23),
 IF($Y23=3, $AC$33*($W$33*$I$33)/(W23*I23),
 "")))</f>
        <v>160380.4</v>
      </c>
    </row>
    <row r="24" spans="1:29" x14ac:dyDescent="0.25">
      <c r="A24" t="s">
        <v>44</v>
      </c>
      <c r="B24" t="s">
        <v>75</v>
      </c>
      <c r="C24">
        <v>0</v>
      </c>
      <c r="D24">
        <v>20</v>
      </c>
      <c r="E24">
        <v>20</v>
      </c>
      <c r="F24">
        <f t="shared" si="0"/>
        <v>400</v>
      </c>
      <c r="G24">
        <v>4</v>
      </c>
      <c r="H24" s="2">
        <v>32</v>
      </c>
      <c r="I24" s="2">
        <v>216</v>
      </c>
      <c r="J24">
        <f t="shared" si="1"/>
        <v>6912</v>
      </c>
      <c r="K24">
        <f t="shared" si="1"/>
        <v>1492992</v>
      </c>
      <c r="L24">
        <v>0.51200000000000001</v>
      </c>
      <c r="M24">
        <f>$S$2*3*512*R24/Q24</f>
        <v>29.922077922077921</v>
      </c>
      <c r="N24">
        <f t="shared" si="2"/>
        <v>99.740259740259745</v>
      </c>
      <c r="O24">
        <f t="shared" si="3"/>
        <v>93.188311688311686</v>
      </c>
      <c r="P24">
        <f t="shared" si="4"/>
        <v>3.3593073593073592</v>
      </c>
      <c r="Q24">
        <v>462</v>
      </c>
      <c r="R24">
        <v>1</v>
      </c>
      <c r="W24" s="11">
        <v>0.25</v>
      </c>
      <c r="Y24" s="14">
        <v>3</v>
      </c>
      <c r="Z24">
        <f>IF($Y24=1, $X$33*($W$33*$I$33)/(W24*I24),
 IF($Y24=2, $X$34*($W$34*$I$34)/(W24*I24),
 IF($Y24=3, $X$35*($W$35*$I$35)/(W24*I24),
 "")))</f>
        <v>2439.7592592592596</v>
      </c>
      <c r="AA24">
        <f>IF($Y24=1, $AA$33*($W$33*$I$33)/(W24*I24),
 IF($Y24=2, $AA$34*($W$34*$I$34)/(W24*I24),
 IF($Y24=3, $AA$35*($W$35*$I$35)/(W24*I24),
 "")))</f>
        <v>14446.055555555558</v>
      </c>
      <c r="AB24">
        <f>IF($Y24=1, $AB$33*($W$33*$I$33)/(W24*I24),
 IF($Y24=2, $AB$34*($W$34*$I$34)/(W24*I24),
 IF($Y24=3, $AB$35*($W$35*$I$35)/(W24*I24),
 "")))</f>
        <v>9426.7962962962993</v>
      </c>
      <c r="AC24">
        <f>IF($Y24=1, $AC$33*($W$33*$I$33)/(W24*I24),
 IF($Y24=2, $AC$34*($W$34*$I$34)/(W24*I24),
 IF($Y24=3, $AC$33*($W$33*$I$33)/(W24*I24),
 "")))</f>
        <v>99792.248888888891</v>
      </c>
    </row>
    <row r="25" spans="1:29" x14ac:dyDescent="0.25">
      <c r="A25" t="s">
        <v>45</v>
      </c>
      <c r="B25" t="s">
        <v>75</v>
      </c>
      <c r="C25">
        <v>0</v>
      </c>
      <c r="D25">
        <v>14</v>
      </c>
      <c r="E25">
        <v>14</v>
      </c>
      <c r="F25">
        <f t="shared" si="0"/>
        <v>196</v>
      </c>
      <c r="G25">
        <v>3.6</v>
      </c>
      <c r="H25" s="2">
        <v>32</v>
      </c>
      <c r="I25" s="2">
        <v>250</v>
      </c>
      <c r="J25">
        <f t="shared" si="1"/>
        <v>8000</v>
      </c>
      <c r="K25">
        <f t="shared" si="1"/>
        <v>2000000</v>
      </c>
      <c r="L25">
        <v>0.05</v>
      </c>
      <c r="M25">
        <f>$S$2*3*512*R25/Q25</f>
        <v>36.863999999999997</v>
      </c>
      <c r="N25">
        <f t="shared" si="2"/>
        <v>122.88</v>
      </c>
      <c r="O25">
        <f t="shared" si="3"/>
        <v>114.80800000000001</v>
      </c>
      <c r="P25">
        <f t="shared" si="4"/>
        <v>4.1386666666666665</v>
      </c>
      <c r="Q25">
        <v>375</v>
      </c>
      <c r="R25">
        <v>1</v>
      </c>
      <c r="W25" s="11">
        <v>0.22</v>
      </c>
      <c r="Y25" s="14">
        <v>3</v>
      </c>
      <c r="Z25">
        <f>IF($Y25=1, $X$33*($W$33*$I$33)/(W25*I25),
 IF($Y25=2, $X$34*($W$34*$I$34)/(W25*I25),
 IF($Y25=3, $X$35*($W$35*$I$35)/(W25*I25),
 "")))</f>
        <v>2395.4000000000005</v>
      </c>
      <c r="AA25">
        <f>IF($Y25=1, $AA$33*($W$33*$I$33)/(W25*I25),
 IF($Y25=2, $AA$34*($W$34*$I$34)/(W25*I25),
 IF($Y25=3, $AA$35*($W$35*$I$35)/(W25*I25),
 "")))</f>
        <v>14183.400000000001</v>
      </c>
      <c r="AB25">
        <f>IF($Y25=1, $AB$33*($W$33*$I$33)/(W25*I25),
 IF($Y25=2, $AB$34*($W$34*$I$34)/(W25*I25),
 IF($Y25=3, $AB$35*($W$35*$I$35)/(W25*I25),
 "")))</f>
        <v>9255.4000000000015</v>
      </c>
      <c r="AC25">
        <f>IF($Y25=1, $AC$33*($W$33*$I$33)/(W25*I25),
 IF($Y25=2, $AC$34*($W$34*$I$34)/(W25*I25),
 IF($Y25=3, $AC$33*($W$33*$I$33)/(W25*I25),
 "")))</f>
        <v>97977.844363636366</v>
      </c>
    </row>
    <row r="26" spans="1:29" x14ac:dyDescent="0.25">
      <c r="A26" t="s">
        <v>46</v>
      </c>
      <c r="B26" t="s">
        <v>75</v>
      </c>
      <c r="C26">
        <v>0</v>
      </c>
      <c r="D26">
        <v>10</v>
      </c>
      <c r="E26">
        <v>10</v>
      </c>
      <c r="F26">
        <f t="shared" si="0"/>
        <v>100</v>
      </c>
      <c r="G26">
        <v>3.6</v>
      </c>
      <c r="H26" s="2">
        <v>32</v>
      </c>
      <c r="I26" s="2">
        <v>480</v>
      </c>
      <c r="J26">
        <f t="shared" si="1"/>
        <v>15360</v>
      </c>
      <c r="K26">
        <f t="shared" si="1"/>
        <v>7372800</v>
      </c>
      <c r="L26">
        <v>0.72599999999999998</v>
      </c>
      <c r="M26">
        <f>$S$2*3*512*R26/Q26</f>
        <v>13.460564751703993</v>
      </c>
      <c r="N26">
        <f t="shared" si="2"/>
        <v>44.86854917234664</v>
      </c>
      <c r="O26">
        <f t="shared" si="3"/>
        <v>41.921129503407982</v>
      </c>
      <c r="P26">
        <f t="shared" si="4"/>
        <v>1.5111976630963972</v>
      </c>
      <c r="Q26">
        <v>1027</v>
      </c>
      <c r="R26">
        <v>1</v>
      </c>
      <c r="W26" s="11">
        <v>0.25</v>
      </c>
      <c r="Y26" s="14">
        <v>3</v>
      </c>
      <c r="Z26">
        <f>IF($Y26=1, $X$33*($W$33*$I$33)/(W26*I26),
 IF($Y26=2, $X$34*($W$34*$I$34)/(W26*I26),
 IF($Y26=3, $X$35*($W$35*$I$35)/(W26*I26),
 "")))</f>
        <v>1097.8916666666669</v>
      </c>
      <c r="AA26">
        <f>IF($Y26=1, $AA$33*($W$33*$I$33)/(W26*I26),
 IF($Y26=2, $AA$34*($W$34*$I$34)/(W26*I26),
 IF($Y26=3, $AA$35*($W$35*$I$35)/(W26*I26),
 "")))</f>
        <v>6500.7250000000013</v>
      </c>
      <c r="AB26">
        <f>IF($Y26=1, $AB$33*($W$33*$I$33)/(W26*I26),
 IF($Y26=2, $AB$34*($W$34*$I$34)/(W26*I26),
 IF($Y26=3, $AB$35*($W$35*$I$35)/(W26*I26),
 "")))</f>
        <v>4242.0583333333343</v>
      </c>
      <c r="AC26">
        <f>IF($Y26=1, $AC$33*($W$33*$I$33)/(W26*I26),
 IF($Y26=2, $AC$34*($W$34*$I$34)/(W26*I26),
 IF($Y26=3, $AC$33*($W$33*$I$33)/(W26*I26),
 "")))</f>
        <v>44906.512000000002</v>
      </c>
    </row>
    <row r="27" spans="1:29" x14ac:dyDescent="0.25">
      <c r="A27" t="s">
        <v>47</v>
      </c>
      <c r="B27" t="s">
        <v>75</v>
      </c>
      <c r="C27">
        <v>0</v>
      </c>
      <c r="D27">
        <v>12</v>
      </c>
      <c r="E27">
        <v>12</v>
      </c>
      <c r="F27">
        <f t="shared" si="0"/>
        <v>144</v>
      </c>
      <c r="G27">
        <v>3.6</v>
      </c>
      <c r="H27" s="2">
        <v>32</v>
      </c>
      <c r="I27" s="2">
        <v>800</v>
      </c>
      <c r="J27">
        <f t="shared" si="1"/>
        <v>25600</v>
      </c>
      <c r="K27">
        <f t="shared" si="1"/>
        <v>20480000</v>
      </c>
      <c r="L27">
        <v>8.9099999999999997E-4</v>
      </c>
      <c r="M27">
        <f>$S$2*3*512*R27/Q27</f>
        <v>10.8</v>
      </c>
      <c r="N27">
        <f t="shared" si="2"/>
        <v>36</v>
      </c>
      <c r="O27">
        <f t="shared" si="3"/>
        <v>33.635156250000001</v>
      </c>
      <c r="P27">
        <f t="shared" si="4"/>
        <v>1.2124999999999999</v>
      </c>
      <c r="Q27">
        <v>1280</v>
      </c>
      <c r="R27">
        <v>1</v>
      </c>
      <c r="W27" s="11">
        <v>0.28000000000000003</v>
      </c>
      <c r="Y27" s="14">
        <v>1</v>
      </c>
      <c r="Z27">
        <f>IF($Y27=1, $X$33*($W$33*$I$33)/(W27*I27),
 IF($Y27=2, $X$34*($W$34*$I$34)/(W27*I27),
 IF($Y27=3, $X$35*($W$35*$I$35)/(W27*I27),
 "")))</f>
        <v>29784.149999999998</v>
      </c>
      <c r="AA27">
        <f>IF($Y27=1, $AA$33*($W$33*$I$33)/(W27*I27),
 IF($Y27=2, $AA$34*($W$34*$I$34)/(W27*I27),
 IF($Y27=3, $AA$35*($W$35*$I$35)/(W27*I27),
 "")))</f>
        <v>59740.214285714275</v>
      </c>
      <c r="AB27">
        <f>IF($Y27=1, $AB$33*($W$33*$I$33)/(W27*I27),
 IF($Y27=2, $AB$34*($W$34*$I$34)/(W27*I27),
 IF($Y27=3, $AB$35*($W$35*$I$35)/(W27*I27),
 "")))</f>
        <v>60587.282857142847</v>
      </c>
      <c r="AC27">
        <f>IF($Y27=1, $AC$33*($W$33*$I$33)/(W27*I27),
 IF($Y27=2, $AC$34*($W$34*$I$34)/(W27*I27),
 IF($Y27=3, $AC$33*($W$33*$I$33)/(W27*I27),
 "")))</f>
        <v>24057.059999999998</v>
      </c>
    </row>
    <row r="28" spans="1:29" x14ac:dyDescent="0.25">
      <c r="A28" t="s">
        <v>48</v>
      </c>
      <c r="B28" t="s">
        <v>75</v>
      </c>
      <c r="C28">
        <v>0</v>
      </c>
      <c r="D28">
        <v>10</v>
      </c>
      <c r="E28">
        <v>10</v>
      </c>
      <c r="F28">
        <f t="shared" si="0"/>
        <v>100</v>
      </c>
      <c r="G28">
        <v>3.6</v>
      </c>
      <c r="H28" s="2">
        <v>32</v>
      </c>
      <c r="I28" s="2">
        <v>32</v>
      </c>
      <c r="J28">
        <f t="shared" si="1"/>
        <v>1024</v>
      </c>
      <c r="K28">
        <f t="shared" si="1"/>
        <v>32768</v>
      </c>
      <c r="L28">
        <v>2.0789999999999999E-2</v>
      </c>
      <c r="M28">
        <f>$S$2*3*512*R28/Q28</f>
        <v>13642.105263157895</v>
      </c>
      <c r="N28">
        <f t="shared" si="2"/>
        <v>45473.68421052632</v>
      </c>
      <c r="O28">
        <f t="shared" si="3"/>
        <v>42486.51315789474</v>
      </c>
      <c r="P28">
        <f t="shared" si="4"/>
        <v>1531.578947368421</v>
      </c>
      <c r="Q28">
        <v>30.4</v>
      </c>
      <c r="R28">
        <v>30</v>
      </c>
      <c r="W28" s="11">
        <v>0.12</v>
      </c>
      <c r="Y28" s="14">
        <v>3</v>
      </c>
      <c r="Z28">
        <f>IF($Y28=1, $X$33*($W$33*$I$33)/(W28*I28),
 IF($Y28=2, $X$34*($W$34*$I$34)/(W28*I28),
 IF($Y28=3, $X$35*($W$35*$I$35)/(W28*I28),
 "")))</f>
        <v>34309.114583333343</v>
      </c>
      <c r="AA28">
        <f>IF($Y28=1, $AA$33*($W$33*$I$33)/(W28*I28),
 IF($Y28=2, $AA$34*($W$34*$I$34)/(W28*I28),
 IF($Y28=3, $AA$35*($W$35*$I$35)/(W28*I28),
 "")))</f>
        <v>203147.65625000003</v>
      </c>
      <c r="AB28">
        <f>IF($Y28=1, $AB$33*($W$33*$I$33)/(W28*I28),
 IF($Y28=2, $AB$34*($W$34*$I$34)/(W28*I28),
 IF($Y28=3, $AB$35*($W$35*$I$35)/(W28*I28),
 "")))</f>
        <v>132564.32291666672</v>
      </c>
      <c r="AC28">
        <f>IF($Y28=1, $AC$33*($W$33*$I$33)/(W28*I28),
 IF($Y28=2, $AC$34*($W$34*$I$34)/(W28*I28),
 IF($Y28=3, $AC$33*($W$33*$I$33)/(W28*I28),
 "")))</f>
        <v>1403328.5000000002</v>
      </c>
    </row>
    <row r="29" spans="1:29" x14ac:dyDescent="0.25">
      <c r="A29" t="s">
        <v>49</v>
      </c>
      <c r="B29" t="s">
        <v>75</v>
      </c>
      <c r="C29">
        <v>0</v>
      </c>
      <c r="D29">
        <v>20</v>
      </c>
      <c r="E29">
        <v>20</v>
      </c>
      <c r="F29">
        <f t="shared" si="0"/>
        <v>400</v>
      </c>
      <c r="G29">
        <v>3.6</v>
      </c>
      <c r="H29" s="2">
        <v>32</v>
      </c>
      <c r="I29" s="2">
        <v>80</v>
      </c>
      <c r="J29">
        <f t="shared" si="1"/>
        <v>2560</v>
      </c>
      <c r="K29">
        <f t="shared" si="1"/>
        <v>204800</v>
      </c>
      <c r="L29">
        <v>1.0296E-2</v>
      </c>
      <c r="M29">
        <f>$S$2*3*512*R29/Q29</f>
        <v>138.24</v>
      </c>
      <c r="N29">
        <f t="shared" si="2"/>
        <v>460.8</v>
      </c>
      <c r="O29">
        <f t="shared" si="3"/>
        <v>430.53</v>
      </c>
      <c r="P29">
        <f t="shared" si="4"/>
        <v>15.52</v>
      </c>
      <c r="Q29">
        <v>100</v>
      </c>
      <c r="R29">
        <v>1</v>
      </c>
      <c r="W29" s="11">
        <v>0.2</v>
      </c>
      <c r="Y29" s="14">
        <v>3</v>
      </c>
      <c r="Z29">
        <f>IF($Y29=1, $X$33*($W$33*$I$33)/(W29*I29),
 IF($Y29=2, $X$34*($W$34*$I$34)/(W29*I29),
 IF($Y29=3, $X$35*($W$35*$I$35)/(W29*I29),
 "")))</f>
        <v>8234.1875000000018</v>
      </c>
      <c r="AA29">
        <f>IF($Y29=1, $AA$33*($W$33*$I$33)/(W29*I29),
 IF($Y29=2, $AA$34*($W$34*$I$34)/(W29*I29),
 IF($Y29=3, $AA$35*($W$35*$I$35)/(W29*I29),
 "")))</f>
        <v>48755.437500000007</v>
      </c>
      <c r="AB29">
        <f>IF($Y29=1, $AB$33*($W$33*$I$33)/(W29*I29),
 IF($Y29=2, $AB$34*($W$34*$I$34)/(W29*I29),
 IF($Y29=3, $AB$35*($W$35*$I$35)/(W29*I29),
 "")))</f>
        <v>31815.437500000007</v>
      </c>
      <c r="AC29">
        <f>IF($Y29=1, $AC$33*($W$33*$I$33)/(W29*I29),
 IF($Y29=2, $AC$34*($W$34*$I$34)/(W29*I29),
 IF($Y29=3, $AC$33*($W$33*$I$33)/(W29*I29),
 "")))</f>
        <v>336798.84</v>
      </c>
    </row>
    <row r="30" spans="1:29" x14ac:dyDescent="0.25">
      <c r="A30" t="s">
        <v>50</v>
      </c>
      <c r="B30" t="s">
        <v>75</v>
      </c>
      <c r="C30">
        <v>0</v>
      </c>
      <c r="D30">
        <v>7</v>
      </c>
      <c r="E30">
        <v>7</v>
      </c>
      <c r="F30">
        <f t="shared" si="0"/>
        <v>49</v>
      </c>
      <c r="G30">
        <v>3.6</v>
      </c>
      <c r="H30" s="2">
        <v>32</v>
      </c>
      <c r="I30" s="2">
        <v>96</v>
      </c>
      <c r="J30">
        <f t="shared" si="1"/>
        <v>3072</v>
      </c>
      <c r="K30">
        <f t="shared" si="1"/>
        <v>294912</v>
      </c>
      <c r="L30">
        <v>2.0591999999999999E-2</v>
      </c>
      <c r="M30">
        <f>$S$2*3*512*R30/Q30</f>
        <v>96</v>
      </c>
      <c r="N30">
        <f t="shared" si="2"/>
        <v>320</v>
      </c>
      <c r="O30">
        <f t="shared" si="3"/>
        <v>298.97916666666669</v>
      </c>
      <c r="P30">
        <f t="shared" si="4"/>
        <v>10.777777777777779</v>
      </c>
      <c r="Q30">
        <v>144</v>
      </c>
      <c r="R30">
        <v>1</v>
      </c>
      <c r="W30" s="11">
        <v>0.22</v>
      </c>
      <c r="Y30" s="14">
        <v>3</v>
      </c>
      <c r="Z30">
        <f>IF($Y30=1, $X$33*($W$33*$I$33)/(W30*I30),
 IF($Y30=2, $X$34*($W$34*$I$34)/(W30*I30),
 IF($Y30=3, $X$35*($W$35*$I$35)/(W30*I30),
 "")))</f>
        <v>6238.0208333333348</v>
      </c>
      <c r="AA30">
        <f>IF($Y30=1, $AA$33*($W$33*$I$33)/(W30*I30),
 IF($Y30=2, $AA$34*($W$34*$I$34)/(W30*I30),
 IF($Y30=3, $AA$35*($W$35*$I$35)/(W30*I30),
 "")))</f>
        <v>36935.937500000007</v>
      </c>
      <c r="AB30">
        <f>IF($Y30=1, $AB$33*($W$33*$I$33)/(W30*I30),
 IF($Y30=2, $AB$34*($W$34*$I$34)/(W30*I30),
 IF($Y30=3, $AB$35*($W$35*$I$35)/(W30*I30),
 "")))</f>
        <v>24102.604166666672</v>
      </c>
      <c r="AC30">
        <f>IF($Y30=1, $AC$33*($W$33*$I$33)/(W30*I30),
 IF($Y30=2, $AC$34*($W$34*$I$34)/(W30*I30),
 IF($Y30=3, $AC$33*($W$33*$I$33)/(W30*I30),
 "")))</f>
        <v>255150.63636363638</v>
      </c>
    </row>
    <row r="31" spans="1:29" x14ac:dyDescent="0.25">
      <c r="A31" t="s">
        <v>51</v>
      </c>
      <c r="B31" t="s">
        <v>75</v>
      </c>
      <c r="C31">
        <v>0</v>
      </c>
      <c r="D31">
        <v>5</v>
      </c>
      <c r="E31">
        <v>5</v>
      </c>
      <c r="F31">
        <f t="shared" si="0"/>
        <v>25</v>
      </c>
      <c r="G31">
        <v>3.6</v>
      </c>
      <c r="H31" s="2">
        <v>32</v>
      </c>
      <c r="I31" s="2">
        <v>50</v>
      </c>
      <c r="J31">
        <f t="shared" si="1"/>
        <v>1600</v>
      </c>
      <c r="K31">
        <f t="shared" si="1"/>
        <v>80000</v>
      </c>
      <c r="L31">
        <v>2.6895000000000001E-3</v>
      </c>
      <c r="M31">
        <f>$S$2*3*512*R31/Q31</f>
        <v>57.6</v>
      </c>
      <c r="N31">
        <f t="shared" si="2"/>
        <v>192</v>
      </c>
      <c r="O31">
        <f t="shared" si="3"/>
        <v>179.38749999999999</v>
      </c>
      <c r="P31">
        <f t="shared" si="4"/>
        <v>6.4666666666666668</v>
      </c>
      <c r="Q31">
        <v>240</v>
      </c>
      <c r="R31">
        <v>1</v>
      </c>
      <c r="W31" s="11">
        <v>0.22</v>
      </c>
      <c r="Y31" s="14">
        <v>3</v>
      </c>
      <c r="Z31">
        <f>IF($Y31=1, $X$33*($W$33*$I$33)/(W31*I31),
 IF($Y31=2, $X$34*($W$34*$I$34)/(W31*I31),
 IF($Y31=3, $X$35*($W$35*$I$35)/(W31*I31),
 "")))</f>
        <v>11977.000000000002</v>
      </c>
      <c r="AA31">
        <f>IF($Y31=1, $AA$33*($W$33*$I$33)/(W31*I31),
 IF($Y31=2, $AA$34*($W$34*$I$34)/(W31*I31),
 IF($Y31=3, $AA$35*($W$35*$I$35)/(W31*I31),
 "")))</f>
        <v>70917.000000000015</v>
      </c>
      <c r="AB31">
        <f>IF($Y31=1, $AB$33*($W$33*$I$33)/(W31*I31),
 IF($Y31=2, $AB$34*($W$34*$I$34)/(W31*I31),
 IF($Y31=3, $AB$35*($W$35*$I$35)/(W31*I31),
 "")))</f>
        <v>46277.000000000007</v>
      </c>
      <c r="AC31">
        <f>IF($Y31=1, $AC$33*($W$33*$I$33)/(W31*I31),
 IF($Y31=2, $AC$34*($W$34*$I$34)/(W31*I31),
 IF($Y31=3, $AC$33*($W$33*$I$33)/(W31*I31),
 "")))</f>
        <v>489889.22181818186</v>
      </c>
    </row>
    <row r="32" spans="1:29" x14ac:dyDescent="0.25">
      <c r="A32" t="s">
        <v>52</v>
      </c>
      <c r="B32" t="s">
        <v>75</v>
      </c>
      <c r="C32">
        <v>0</v>
      </c>
      <c r="D32">
        <v>14</v>
      </c>
      <c r="E32">
        <v>14</v>
      </c>
      <c r="F32">
        <f t="shared" si="0"/>
        <v>196</v>
      </c>
      <c r="G32">
        <v>3.6</v>
      </c>
      <c r="H32" s="2">
        <v>32</v>
      </c>
      <c r="I32" s="2">
        <v>1000</v>
      </c>
      <c r="J32">
        <f t="shared" si="1"/>
        <v>32000</v>
      </c>
      <c r="K32">
        <f t="shared" si="1"/>
        <v>32000000</v>
      </c>
      <c r="L32">
        <v>0.16500000000000001</v>
      </c>
      <c r="M32">
        <f>$S$2*3*512*R32/Q32</f>
        <v>153.6</v>
      </c>
      <c r="N32">
        <f t="shared" si="2"/>
        <v>512</v>
      </c>
      <c r="O32">
        <f t="shared" si="3"/>
        <v>478.36666666666667</v>
      </c>
      <c r="P32">
        <f t="shared" si="4"/>
        <v>17.244444444444444</v>
      </c>
      <c r="Q32">
        <v>90</v>
      </c>
      <c r="R32">
        <v>1</v>
      </c>
      <c r="W32" s="11">
        <v>0.35</v>
      </c>
      <c r="Y32" s="14">
        <v>3</v>
      </c>
      <c r="Z32">
        <f>IF($Y32=1, $X$33*($W$33*$I$33)/(W32*I32),
 IF($Y32=2, $X$34*($W$34*$I$34)/(W32*I32),
 IF($Y32=3, $X$35*($W$35*$I$35)/(W32*I32),
 "")))</f>
        <v>376.42000000000007</v>
      </c>
      <c r="AA32">
        <f>IF($Y32=1, $AA$33*($W$33*$I$33)/(W32*I32),
 IF($Y32=2, $AA$34*($W$34*$I$34)/(W32*I32),
 IF($Y32=3, $AA$35*($W$35*$I$35)/(W32*I32),
 "")))</f>
        <v>2228.8200000000002</v>
      </c>
      <c r="AB32">
        <f>IF($Y32=1, $AB$33*($W$33*$I$33)/(W32*I32),
 IF($Y32=2, $AB$34*($W$34*$I$34)/(W32*I32),
 IF($Y32=3, $AB$35*($W$35*$I$35)/(W32*I32),
 "")))</f>
        <v>1454.4200000000003</v>
      </c>
      <c r="AC32">
        <f>IF($Y32=1, $AC$33*($W$33*$I$33)/(W32*I32),
 IF($Y32=2, $AC$34*($W$34*$I$34)/(W32*I32),
 IF($Y32=3, $AC$34*($W$34*$I$34)/(W32*I32),
 "")))</f>
        <v>4958.3999999999996</v>
      </c>
    </row>
    <row r="33" spans="1:29" x14ac:dyDescent="0.25">
      <c r="A33" s="9" t="s">
        <v>132</v>
      </c>
      <c r="B33" s="9" t="s">
        <v>75</v>
      </c>
      <c r="C33" s="9">
        <v>0</v>
      </c>
      <c r="D33" s="9">
        <v>70</v>
      </c>
      <c r="E33" s="9">
        <v>45</v>
      </c>
      <c r="F33" s="9">
        <f t="shared" si="0"/>
        <v>3150</v>
      </c>
      <c r="G33" s="9">
        <v>9</v>
      </c>
      <c r="H33" s="10">
        <v>32</v>
      </c>
      <c r="I33" s="10">
        <v>2188</v>
      </c>
      <c r="L33">
        <v>15</v>
      </c>
      <c r="M33">
        <f>$S$2*3*512*R33/Q33/10^6</f>
        <v>4.3199999999999998E-4</v>
      </c>
      <c r="N33">
        <f>$T$2*3*R33/Q33/10^6</f>
        <v>1.4400000000000001E-3</v>
      </c>
      <c r="O33">
        <f>$U$2*3*R33/Q33/10^6</f>
        <v>1.34540625E-3</v>
      </c>
      <c r="P33">
        <f>$V$2*R33/Q33/10^6</f>
        <v>4.85E-5</v>
      </c>
      <c r="Q33" s="15">
        <v>32</v>
      </c>
      <c r="R33">
        <v>1</v>
      </c>
      <c r="W33" s="11">
        <v>0.8</v>
      </c>
      <c r="X33">
        <v>3811.5</v>
      </c>
      <c r="Y33" s="14">
        <v>1</v>
      </c>
      <c r="Z33">
        <f>IF($Y33=1, $X$33*($W$33*$I$33)/(W33*I33),
 IF($Y33=2, $X$34*($W$34*$I$34)/(W33*I33),
 IF($Y33=3, $X$35*($W$35*$I$35)/(W33*I33),
 "")))</f>
        <v>3811.5</v>
      </c>
      <c r="AA33">
        <v>7645</v>
      </c>
      <c r="AB33">
        <v>7753.4</v>
      </c>
      <c r="AC33">
        <v>3078.6</v>
      </c>
    </row>
    <row r="34" spans="1:29" x14ac:dyDescent="0.25">
      <c r="A34" s="9" t="s">
        <v>133</v>
      </c>
      <c r="B34" s="9" t="s">
        <v>75</v>
      </c>
      <c r="C34" s="9">
        <v>0</v>
      </c>
      <c r="D34" s="9">
        <v>85</v>
      </c>
      <c r="E34" s="9">
        <v>56</v>
      </c>
      <c r="F34" s="9">
        <f t="shared" si="0"/>
        <v>4760</v>
      </c>
      <c r="G34" s="9">
        <v>5</v>
      </c>
      <c r="H34" s="10">
        <v>32</v>
      </c>
      <c r="I34" s="10">
        <v>2400</v>
      </c>
      <c r="L34">
        <v>2.7</v>
      </c>
      <c r="M34">
        <f>$S$2*3*512*R34/Q34</f>
        <v>1.1519999999999999</v>
      </c>
      <c r="N34">
        <f t="shared" si="2"/>
        <v>3.84</v>
      </c>
      <c r="O34">
        <f t="shared" si="3"/>
        <v>3.5877500000000002</v>
      </c>
      <c r="P34">
        <f t="shared" si="4"/>
        <v>0.12933333333333333</v>
      </c>
      <c r="Q34">
        <v>12000</v>
      </c>
      <c r="R34">
        <v>1</v>
      </c>
      <c r="W34" s="11">
        <v>1</v>
      </c>
      <c r="X34">
        <v>2014.6</v>
      </c>
      <c r="Y34" s="14">
        <v>2</v>
      </c>
      <c r="Z34">
        <f>IF($Y34=1, $X$33*($W$33*$I$33)/(W34*I34),
 IF($Y34=2, $X$34*($W$34*$I$34)/(W34*I34),
 IF($Y34=3, $X$35*($W$35*$I$35)/(W34*I34),
 "")))</f>
        <v>2014.6</v>
      </c>
      <c r="AA34">
        <v>4675.2</v>
      </c>
      <c r="AB34">
        <v>4866.6000000000004</v>
      </c>
      <c r="AC34">
        <v>723.1</v>
      </c>
    </row>
    <row r="35" spans="1:29" x14ac:dyDescent="0.25">
      <c r="A35" s="9" t="s">
        <v>134</v>
      </c>
      <c r="B35" s="9" t="s">
        <v>75</v>
      </c>
      <c r="C35" s="9">
        <v>0</v>
      </c>
      <c r="D35" s="9">
        <v>98</v>
      </c>
      <c r="E35" s="9">
        <v>74</v>
      </c>
      <c r="F35" s="9">
        <f t="shared" si="0"/>
        <v>7252</v>
      </c>
      <c r="G35" s="9">
        <v>5</v>
      </c>
      <c r="H35" s="10">
        <v>32</v>
      </c>
      <c r="I35" s="10">
        <v>1400</v>
      </c>
      <c r="L35">
        <v>2</v>
      </c>
      <c r="M35">
        <f>$S$2*3*512*R35/Q35</f>
        <v>1.3041509433962264</v>
      </c>
      <c r="N35">
        <f t="shared" si="2"/>
        <v>4.3471698113207546</v>
      </c>
      <c r="O35">
        <f t="shared" si="3"/>
        <v>4.0616037735849053</v>
      </c>
      <c r="P35">
        <f t="shared" si="4"/>
        <v>0.14641509433962263</v>
      </c>
      <c r="Q35">
        <v>10600</v>
      </c>
      <c r="R35">
        <v>1</v>
      </c>
      <c r="W35" s="11">
        <v>0.55000000000000004</v>
      </c>
      <c r="X35">
        <v>171.1</v>
      </c>
      <c r="Y35" s="14">
        <v>3</v>
      </c>
      <c r="Z35">
        <f>IF($Y35=1, $X$33*($W$33*$I$33)/(W35*I35),
 IF($Y35=2, $X$34*($W$34*$I$34)/(W35*I35),
 IF($Y35=3, $X$35*($W$35*$I$35)/(W35*I35),
 "")))</f>
        <v>171.10000000000002</v>
      </c>
      <c r="AA35">
        <v>1013.1</v>
      </c>
      <c r="AB35">
        <v>661.1</v>
      </c>
      <c r="AC35">
        <f>$AC$33*($W$33*$I$33)/(W35*I35)</f>
        <v>6998.4174545454543</v>
      </c>
    </row>
    <row r="36" spans="1:29" s="7" customFormat="1" x14ac:dyDescent="0.25">
      <c r="A36" s="7" t="s">
        <v>53</v>
      </c>
      <c r="B36" s="7" t="s">
        <v>75</v>
      </c>
      <c r="C36" s="7">
        <v>0</v>
      </c>
      <c r="D36" s="7">
        <v>16</v>
      </c>
      <c r="E36" s="7">
        <v>16</v>
      </c>
      <c r="F36" s="7">
        <f t="shared" si="0"/>
        <v>256</v>
      </c>
      <c r="G36" s="7">
        <v>3.6</v>
      </c>
      <c r="H36" s="8">
        <v>32</v>
      </c>
      <c r="I36" s="8">
        <v>400</v>
      </c>
      <c r="J36" s="7">
        <f t="shared" si="1"/>
        <v>12800</v>
      </c>
      <c r="K36" s="7">
        <f t="shared" si="1"/>
        <v>5120000</v>
      </c>
      <c r="L36" s="7">
        <v>1.98</v>
      </c>
      <c r="M36">
        <f>$S$2*3*512*R36/Q36</f>
        <v>9.2159999999999993</v>
      </c>
      <c r="N36">
        <f t="shared" si="2"/>
        <v>30.72</v>
      </c>
      <c r="O36">
        <f t="shared" si="3"/>
        <v>28.702000000000002</v>
      </c>
      <c r="P36">
        <f t="shared" si="4"/>
        <v>1.0346666666666666</v>
      </c>
      <c r="Q36" s="7">
        <v>1500</v>
      </c>
      <c r="R36" s="7">
        <v>1</v>
      </c>
      <c r="W36" s="11">
        <v>0.45</v>
      </c>
      <c r="Y36" s="14">
        <v>3</v>
      </c>
      <c r="Z36">
        <f>IF($Y36=1, $X$33*($W$33*$I$33)/(W36*I36),
 IF($Y36=2, $X$34*($W$34*$I$34)/(W36*I36),
 IF($Y36=3, $X$35*($W$35*$I$35)/(W36*I36),
 "")))</f>
        <v>731.92777777777792</v>
      </c>
      <c r="AA36" s="7">
        <f>IF($Y36=1, $AA$33*($W$33*$I$33)/(W36*I36),
 IF($Y36=2, $AA$34*($W$34*$I$34)/(W36*I36),
 IF($Y36=3, $AA$35*($W$35*$I$35)/(W36*I36),
 "")))</f>
        <v>4333.8166666666675</v>
      </c>
      <c r="AB36" s="7">
        <f>IF($Y36=1, $AB$33*($W$33*$I$33)/(W36*I36),
 IF($Y36=2, $AB$34*($W$34*$I$34)/(W36*I36),
 IF($Y36=3, $AB$35*($W$35*$I$35)/(W36*I36),
 "")))</f>
        <v>2828.0388888888897</v>
      </c>
      <c r="AC36" s="7">
        <f>IF($Y36=1, $AC$33*($W$33*$I$33)/(W36*I36),
 IF($Y36=2, $AC$34*($W$34*$I$34)/(W36*I36),
 IF($Y36=3, $AC$33*($W$33*$I$33)/(W36*I36),
 "")))</f>
        <v>29937.67466666667</v>
      </c>
    </row>
    <row r="37" spans="1:29" s="7" customFormat="1" x14ac:dyDescent="0.25">
      <c r="A37" s="7" t="s">
        <v>144</v>
      </c>
      <c r="B37" s="7" t="s">
        <v>76</v>
      </c>
      <c r="C37" s="7">
        <v>1</v>
      </c>
      <c r="D37" s="7">
        <v>3</v>
      </c>
      <c r="E37" s="7">
        <v>3</v>
      </c>
      <c r="F37" s="7">
        <f t="shared" ref="F37:F55" si="5">D37*E37</f>
        <v>9</v>
      </c>
      <c r="G37" s="7">
        <v>3.6</v>
      </c>
      <c r="H37" s="8"/>
      <c r="I37" s="8"/>
      <c r="J37" s="7">
        <v>3.2000000000000001E-2</v>
      </c>
      <c r="K37" s="7">
        <v>3.2000000000000001E-2</v>
      </c>
      <c r="L37" s="7">
        <v>6.6000000000000003E-6</v>
      </c>
      <c r="Y37" s="16"/>
    </row>
    <row r="38" spans="1:29" s="7" customFormat="1" x14ac:dyDescent="0.25">
      <c r="A38" s="7" t="s">
        <v>143</v>
      </c>
      <c r="B38" s="7" t="s">
        <v>94</v>
      </c>
      <c r="C38" s="7">
        <v>1</v>
      </c>
      <c r="D38" s="7">
        <v>2.5</v>
      </c>
      <c r="E38" s="7">
        <v>3</v>
      </c>
      <c r="F38" s="7">
        <f t="shared" si="5"/>
        <v>7.5</v>
      </c>
      <c r="G38" s="7">
        <v>3.6</v>
      </c>
      <c r="H38" s="8" t="s">
        <v>104</v>
      </c>
      <c r="I38" s="8" t="s">
        <v>95</v>
      </c>
      <c r="J38" s="7">
        <v>1</v>
      </c>
      <c r="K38" s="7">
        <v>1</v>
      </c>
      <c r="L38" s="7">
        <v>3.0525000000000001E-3</v>
      </c>
      <c r="Y38" s="16"/>
    </row>
    <row r="39" spans="1:29" s="7" customFormat="1" x14ac:dyDescent="0.25">
      <c r="A39" s="7" t="s">
        <v>138</v>
      </c>
      <c r="B39" s="7" t="s">
        <v>76</v>
      </c>
      <c r="C39" s="7">
        <v>1</v>
      </c>
      <c r="D39" s="7">
        <v>2</v>
      </c>
      <c r="E39" s="7">
        <v>2</v>
      </c>
      <c r="F39" s="7">
        <f t="shared" si="5"/>
        <v>4</v>
      </c>
      <c r="G39" s="7">
        <v>3.6</v>
      </c>
      <c r="H39" s="8"/>
      <c r="I39" s="8"/>
      <c r="J39" s="7">
        <v>3.2000000000000001E-2</v>
      </c>
      <c r="K39" s="7">
        <v>3.2000000000000001E-2</v>
      </c>
      <c r="L39" s="7">
        <v>4.6199999999999998E-5</v>
      </c>
      <c r="N39" s="17"/>
      <c r="O39" s="17"/>
      <c r="P39" s="17"/>
      <c r="Y39" s="16"/>
    </row>
    <row r="40" spans="1:29" x14ac:dyDescent="0.25">
      <c r="A40" t="s">
        <v>4</v>
      </c>
      <c r="B40" t="s">
        <v>94</v>
      </c>
      <c r="C40">
        <v>1</v>
      </c>
      <c r="D40">
        <v>12.1</v>
      </c>
      <c r="E40">
        <v>12.1</v>
      </c>
      <c r="F40">
        <f t="shared" si="5"/>
        <v>146.41</v>
      </c>
      <c r="G40">
        <v>3.6</v>
      </c>
      <c r="H40" s="2" t="s">
        <v>103</v>
      </c>
      <c r="I40" s="2">
        <v>1E-4</v>
      </c>
      <c r="J40">
        <v>1.44E-2</v>
      </c>
      <c r="K40">
        <v>1.44E-2</v>
      </c>
      <c r="L40">
        <v>0.1</v>
      </c>
    </row>
    <row r="41" spans="1:29" x14ac:dyDescent="0.25">
      <c r="A41" t="s">
        <v>5</v>
      </c>
      <c r="B41" t="s">
        <v>81</v>
      </c>
      <c r="C41">
        <v>1</v>
      </c>
      <c r="D41">
        <v>31.5</v>
      </c>
      <c r="E41">
        <v>28</v>
      </c>
      <c r="F41">
        <f t="shared" si="5"/>
        <v>882</v>
      </c>
      <c r="G41">
        <v>5</v>
      </c>
      <c r="H41" s="2" t="s">
        <v>103</v>
      </c>
      <c r="I41" s="2">
        <v>2E-3</v>
      </c>
      <c r="J41">
        <v>0.28799999999999998</v>
      </c>
      <c r="K41">
        <v>0.28799999999999998</v>
      </c>
      <c r="L41">
        <v>0.06</v>
      </c>
    </row>
    <row r="42" spans="1:29" x14ac:dyDescent="0.25">
      <c r="A42" t="s">
        <v>6</v>
      </c>
      <c r="B42" t="s">
        <v>81</v>
      </c>
      <c r="C42">
        <v>1</v>
      </c>
      <c r="D42">
        <v>315</v>
      </c>
      <c r="E42">
        <v>28</v>
      </c>
      <c r="F42">
        <f t="shared" si="5"/>
        <v>8820</v>
      </c>
      <c r="G42">
        <v>5</v>
      </c>
      <c r="H42" s="2" t="s">
        <v>103</v>
      </c>
      <c r="I42" s="2">
        <v>2E-3</v>
      </c>
      <c r="J42">
        <v>0.28799999999999998</v>
      </c>
      <c r="K42">
        <v>0.28799999999999998</v>
      </c>
      <c r="L42">
        <v>0.06</v>
      </c>
    </row>
    <row r="43" spans="1:29" x14ac:dyDescent="0.25">
      <c r="A43" t="s">
        <v>7</v>
      </c>
      <c r="B43" t="s">
        <v>81</v>
      </c>
      <c r="C43">
        <v>1</v>
      </c>
      <c r="D43">
        <v>57</v>
      </c>
      <c r="E43">
        <v>41.9</v>
      </c>
      <c r="F43">
        <f t="shared" si="5"/>
        <v>2388.2999999999997</v>
      </c>
      <c r="G43">
        <v>3.3</v>
      </c>
      <c r="H43" s="2" t="s">
        <v>103</v>
      </c>
      <c r="I43" s="2">
        <v>2E-3</v>
      </c>
      <c r="J43">
        <v>0.28799999999999998</v>
      </c>
      <c r="K43">
        <v>0.28799999999999998</v>
      </c>
      <c r="L43">
        <v>0.52</v>
      </c>
    </row>
    <row r="44" spans="1:29" x14ac:dyDescent="0.25">
      <c r="A44" t="s">
        <v>10</v>
      </c>
      <c r="B44" t="s">
        <v>96</v>
      </c>
      <c r="C44">
        <v>1</v>
      </c>
      <c r="D44">
        <v>2</v>
      </c>
      <c r="E44">
        <v>2.5</v>
      </c>
      <c r="F44">
        <f t="shared" si="5"/>
        <v>5</v>
      </c>
      <c r="G44">
        <v>1.8</v>
      </c>
      <c r="H44" s="2" t="s">
        <v>107</v>
      </c>
      <c r="I44" s="2" t="s">
        <v>97</v>
      </c>
      <c r="J44">
        <v>7.5360000000000002E-3</v>
      </c>
      <c r="K44">
        <v>7.5360000000000002E-3</v>
      </c>
      <c r="L44">
        <v>5.04E-6</v>
      </c>
    </row>
    <row r="45" spans="1:29" x14ac:dyDescent="0.25">
      <c r="A45" t="s">
        <v>11</v>
      </c>
      <c r="B45" t="s">
        <v>96</v>
      </c>
      <c r="C45">
        <v>1</v>
      </c>
      <c r="D45">
        <v>2.5</v>
      </c>
      <c r="E45">
        <v>2.5</v>
      </c>
      <c r="F45">
        <f t="shared" si="5"/>
        <v>6.25</v>
      </c>
      <c r="G45">
        <v>1.7</v>
      </c>
      <c r="H45" s="2" t="s">
        <v>99</v>
      </c>
      <c r="I45" s="2" t="s">
        <v>98</v>
      </c>
      <c r="J45">
        <v>1E-3</v>
      </c>
      <c r="K45">
        <v>1E-3</v>
      </c>
      <c r="L45">
        <v>6.8000000000000001E-6</v>
      </c>
    </row>
    <row r="46" spans="1:29" x14ac:dyDescent="0.25">
      <c r="A46" t="s">
        <v>12</v>
      </c>
      <c r="B46" t="s">
        <v>79</v>
      </c>
      <c r="C46">
        <v>1</v>
      </c>
      <c r="D46">
        <v>3</v>
      </c>
      <c r="E46">
        <v>3</v>
      </c>
      <c r="F46">
        <f t="shared" si="5"/>
        <v>9</v>
      </c>
      <c r="G46">
        <v>2.5</v>
      </c>
      <c r="H46" s="2" t="s">
        <v>106</v>
      </c>
      <c r="I46" s="2" t="s">
        <v>100</v>
      </c>
      <c r="J46">
        <v>7.6800000000000002E-3</v>
      </c>
      <c r="K46">
        <v>7.6800000000000002E-3</v>
      </c>
      <c r="L46">
        <v>2.5000000000000001E-4</v>
      </c>
    </row>
    <row r="47" spans="1:29" x14ac:dyDescent="0.25">
      <c r="A47" t="s">
        <v>20</v>
      </c>
      <c r="B47" t="s">
        <v>77</v>
      </c>
      <c r="C47">
        <v>1</v>
      </c>
      <c r="D47">
        <v>2.5</v>
      </c>
      <c r="E47">
        <v>3</v>
      </c>
      <c r="F47">
        <f t="shared" si="5"/>
        <v>7.5</v>
      </c>
      <c r="G47">
        <v>3.6</v>
      </c>
      <c r="H47" s="2" t="s">
        <v>105</v>
      </c>
      <c r="I47" s="2" t="s">
        <v>102</v>
      </c>
      <c r="J47">
        <v>0.63970000000000005</v>
      </c>
      <c r="K47">
        <v>0.63970000000000005</v>
      </c>
      <c r="L47">
        <v>1.8E-3</v>
      </c>
    </row>
    <row r="48" spans="1:29" x14ac:dyDescent="0.25">
      <c r="A48" t="s">
        <v>8</v>
      </c>
      <c r="B48" t="s">
        <v>76</v>
      </c>
      <c r="C48">
        <v>1</v>
      </c>
      <c r="D48">
        <v>3</v>
      </c>
      <c r="E48">
        <v>5</v>
      </c>
      <c r="F48">
        <f t="shared" si="5"/>
        <v>15</v>
      </c>
      <c r="G48">
        <v>3.6</v>
      </c>
      <c r="H48" s="2" t="s">
        <v>106</v>
      </c>
      <c r="I48" s="2" t="s">
        <v>108</v>
      </c>
      <c r="J48">
        <v>0.15359999999999999</v>
      </c>
      <c r="K48">
        <v>0.15359999999999999</v>
      </c>
      <c r="L48">
        <v>3.5E-4</v>
      </c>
    </row>
    <row r="49" spans="1:25" x14ac:dyDescent="0.25">
      <c r="A49" t="s">
        <v>21</v>
      </c>
      <c r="B49" t="s">
        <v>80</v>
      </c>
      <c r="C49">
        <v>1</v>
      </c>
      <c r="D49">
        <v>2.2999999999999998</v>
      </c>
      <c r="E49">
        <v>2.2999999999999998</v>
      </c>
      <c r="F49">
        <f t="shared" si="5"/>
        <v>5.2899999999999991</v>
      </c>
      <c r="G49">
        <v>1.98</v>
      </c>
      <c r="H49" s="2" t="s">
        <v>105</v>
      </c>
      <c r="I49" s="2" t="s">
        <v>109</v>
      </c>
      <c r="J49">
        <v>0.312</v>
      </c>
      <c r="K49">
        <v>0.312</v>
      </c>
      <c r="L49">
        <v>2.9159999999999999E-4</v>
      </c>
    </row>
    <row r="50" spans="1:25" x14ac:dyDescent="0.25">
      <c r="A50" t="s">
        <v>22</v>
      </c>
      <c r="B50" t="s">
        <v>76</v>
      </c>
      <c r="C50">
        <v>1</v>
      </c>
      <c r="D50">
        <v>2</v>
      </c>
      <c r="E50">
        <v>2</v>
      </c>
      <c r="F50">
        <f t="shared" si="5"/>
        <v>4</v>
      </c>
      <c r="G50">
        <v>3.6</v>
      </c>
      <c r="H50" s="2" t="s">
        <v>106</v>
      </c>
      <c r="I50" s="2" t="s">
        <v>110</v>
      </c>
      <c r="J50">
        <v>4.7999999999999996E-3</v>
      </c>
      <c r="K50">
        <v>4.7999999999999996E-3</v>
      </c>
      <c r="L50">
        <v>1.95E-5</v>
      </c>
    </row>
    <row r="51" spans="1:25" x14ac:dyDescent="0.25">
      <c r="A51" t="s">
        <v>23</v>
      </c>
      <c r="B51" t="s">
        <v>80</v>
      </c>
      <c r="C51">
        <v>1</v>
      </c>
      <c r="D51">
        <v>3</v>
      </c>
      <c r="E51">
        <v>3</v>
      </c>
      <c r="F51">
        <f t="shared" si="5"/>
        <v>9</v>
      </c>
      <c r="G51">
        <v>1.98</v>
      </c>
      <c r="H51" s="2" t="s">
        <v>105</v>
      </c>
      <c r="I51" s="2" t="s">
        <v>114</v>
      </c>
      <c r="J51">
        <v>0.314</v>
      </c>
      <c r="K51">
        <v>0.314</v>
      </c>
      <c r="L51">
        <v>3.2076000000000001E-4</v>
      </c>
    </row>
    <row r="52" spans="1:25" x14ac:dyDescent="0.25">
      <c r="A52" t="s">
        <v>9</v>
      </c>
      <c r="B52" t="s">
        <v>78</v>
      </c>
      <c r="C52">
        <v>1</v>
      </c>
      <c r="D52">
        <v>13</v>
      </c>
      <c r="E52">
        <v>23</v>
      </c>
      <c r="F52">
        <f t="shared" si="5"/>
        <v>299</v>
      </c>
      <c r="G52">
        <v>3.6</v>
      </c>
      <c r="H52" s="2" t="s">
        <v>106</v>
      </c>
      <c r="I52" s="2" t="s">
        <v>113</v>
      </c>
      <c r="J52">
        <v>3.6400000000000002E-2</v>
      </c>
      <c r="K52">
        <v>3.6400000000000002E-2</v>
      </c>
      <c r="L52">
        <v>1.7999999999999999E-2</v>
      </c>
    </row>
    <row r="53" spans="1:25" x14ac:dyDescent="0.25">
      <c r="A53" t="s">
        <v>24</v>
      </c>
      <c r="B53" t="s">
        <v>81</v>
      </c>
      <c r="C53">
        <v>1</v>
      </c>
      <c r="D53">
        <v>3.5</v>
      </c>
      <c r="E53">
        <v>3</v>
      </c>
      <c r="F53">
        <f t="shared" si="5"/>
        <v>10.5</v>
      </c>
      <c r="G53">
        <v>3.6</v>
      </c>
      <c r="H53" s="2" t="s">
        <v>111</v>
      </c>
      <c r="I53" s="2" t="s">
        <v>112</v>
      </c>
      <c r="J53">
        <v>9.5200000000000007E-2</v>
      </c>
      <c r="K53">
        <v>9.5200000000000007E-2</v>
      </c>
      <c r="L53">
        <v>1.44E-2</v>
      </c>
    </row>
    <row r="54" spans="1:25" x14ac:dyDescent="0.25">
      <c r="A54" t="s">
        <v>28</v>
      </c>
      <c r="B54" t="s">
        <v>81</v>
      </c>
      <c r="C54">
        <v>1</v>
      </c>
      <c r="D54">
        <v>4</v>
      </c>
      <c r="E54">
        <v>4</v>
      </c>
      <c r="F54">
        <f t="shared" si="5"/>
        <v>16</v>
      </c>
      <c r="G54">
        <v>3.6</v>
      </c>
      <c r="H54" s="2" t="s">
        <v>111</v>
      </c>
      <c r="I54" s="2" t="s">
        <v>115</v>
      </c>
      <c r="J54">
        <v>0.1181</v>
      </c>
      <c r="K54">
        <v>0.1181</v>
      </c>
      <c r="L54">
        <v>2.196E-2</v>
      </c>
    </row>
    <row r="55" spans="1:25" x14ac:dyDescent="0.25">
      <c r="A55" t="s">
        <v>31</v>
      </c>
      <c r="B55" t="s">
        <v>76</v>
      </c>
      <c r="C55">
        <v>1</v>
      </c>
      <c r="D55">
        <v>31.5</v>
      </c>
      <c r="E55">
        <v>21.5</v>
      </c>
      <c r="F55">
        <f t="shared" si="5"/>
        <v>677.25</v>
      </c>
      <c r="G55">
        <v>3.6</v>
      </c>
      <c r="H55" s="2" t="s">
        <v>106</v>
      </c>
      <c r="I55" s="2" t="s">
        <v>108</v>
      </c>
      <c r="J55">
        <v>0.15359999999999999</v>
      </c>
      <c r="K55">
        <v>0.15359999999999999</v>
      </c>
      <c r="L55">
        <v>0.59399999999999997</v>
      </c>
    </row>
    <row r="56" spans="1:25" x14ac:dyDescent="0.25">
      <c r="A56" t="s">
        <v>32</v>
      </c>
      <c r="B56" t="s">
        <v>77</v>
      </c>
      <c r="C56">
        <v>1</v>
      </c>
      <c r="D56">
        <v>2.5</v>
      </c>
      <c r="E56">
        <v>3</v>
      </c>
      <c r="F56">
        <f t="shared" ref="F56:F75" si="6">D56*E56</f>
        <v>7.5</v>
      </c>
      <c r="G56">
        <v>3.6</v>
      </c>
      <c r="H56" s="2" t="s">
        <v>105</v>
      </c>
      <c r="I56" s="2" t="s">
        <v>116</v>
      </c>
      <c r="J56">
        <v>0.63939999999999997</v>
      </c>
      <c r="K56">
        <v>0.63939999999999997</v>
      </c>
      <c r="L56">
        <v>1.6199999999999999E-3</v>
      </c>
    </row>
    <row r="57" spans="1:25" s="7" customFormat="1" x14ac:dyDescent="0.25">
      <c r="A57" s="7" t="s">
        <v>61</v>
      </c>
      <c r="B57" s="7" t="s">
        <v>82</v>
      </c>
      <c r="C57" s="7">
        <v>1</v>
      </c>
      <c r="D57" s="7">
        <v>3</v>
      </c>
      <c r="E57" s="7">
        <v>3</v>
      </c>
      <c r="F57" s="7">
        <f t="shared" si="6"/>
        <v>9</v>
      </c>
      <c r="G57" s="7">
        <v>3</v>
      </c>
      <c r="H57" s="8">
        <v>16</v>
      </c>
      <c r="I57" s="8" t="s">
        <v>101</v>
      </c>
      <c r="J57" s="7">
        <v>3.2000000000000003E-4</v>
      </c>
      <c r="K57" s="7">
        <v>3.2000000000000003E-4</v>
      </c>
      <c r="L57" s="7">
        <v>1.98E-3</v>
      </c>
      <c r="N57" s="17"/>
      <c r="O57" s="17"/>
      <c r="P57" s="17"/>
      <c r="Y57" s="16"/>
    </row>
    <row r="58" spans="1:25" x14ac:dyDescent="0.25">
      <c r="A58" t="s">
        <v>62</v>
      </c>
      <c r="B58" t="s">
        <v>82</v>
      </c>
      <c r="C58">
        <v>1</v>
      </c>
      <c r="D58">
        <v>3</v>
      </c>
      <c r="E58">
        <v>3</v>
      </c>
      <c r="F58">
        <f t="shared" si="6"/>
        <v>9</v>
      </c>
      <c r="G58">
        <v>3.6</v>
      </c>
      <c r="H58" s="2">
        <v>16</v>
      </c>
      <c r="I58" s="2" t="s">
        <v>117</v>
      </c>
      <c r="J58">
        <v>1.48E-3</v>
      </c>
      <c r="K58">
        <v>1.48E-3</v>
      </c>
      <c r="L58">
        <v>3.2400000000000001E-4</v>
      </c>
    </row>
    <row r="59" spans="1:25" x14ac:dyDescent="0.25">
      <c r="A59" t="s">
        <v>63</v>
      </c>
      <c r="B59" t="s">
        <v>82</v>
      </c>
      <c r="C59">
        <v>1</v>
      </c>
      <c r="D59">
        <v>2</v>
      </c>
      <c r="E59">
        <v>2</v>
      </c>
      <c r="F59">
        <f t="shared" si="6"/>
        <v>4</v>
      </c>
      <c r="G59">
        <v>5.5</v>
      </c>
      <c r="H59" s="2">
        <v>16</v>
      </c>
      <c r="I59" s="2" t="s">
        <v>118</v>
      </c>
      <c r="J59">
        <v>1.5999999999999999E-5</v>
      </c>
      <c r="K59">
        <v>1.5999999999999999E-5</v>
      </c>
      <c r="L59">
        <v>1.925E-5</v>
      </c>
    </row>
    <row r="60" spans="1:25" x14ac:dyDescent="0.25">
      <c r="A60" t="s">
        <v>64</v>
      </c>
      <c r="B60" t="s">
        <v>83</v>
      </c>
      <c r="C60">
        <v>1</v>
      </c>
      <c r="D60">
        <v>5.6</v>
      </c>
      <c r="E60">
        <v>3.3</v>
      </c>
      <c r="F60">
        <f t="shared" si="6"/>
        <v>18.479999999999997</v>
      </c>
      <c r="G60">
        <v>1.8</v>
      </c>
      <c r="H60" s="2" t="s">
        <v>119</v>
      </c>
      <c r="I60" s="2" t="s">
        <v>108</v>
      </c>
      <c r="J60">
        <v>0.1152</v>
      </c>
      <c r="K60">
        <v>0.1152</v>
      </c>
      <c r="L60">
        <v>2.16E-3</v>
      </c>
    </row>
    <row r="61" spans="1:25" x14ac:dyDescent="0.25">
      <c r="A61" t="s">
        <v>3</v>
      </c>
      <c r="B61" t="s">
        <v>84</v>
      </c>
      <c r="C61">
        <v>2</v>
      </c>
      <c r="D61">
        <v>38</v>
      </c>
      <c r="E61">
        <v>165</v>
      </c>
      <c r="F61">
        <f t="shared" si="6"/>
        <v>6270</v>
      </c>
      <c r="G61">
        <v>11</v>
      </c>
      <c r="H61" s="2">
        <v>16</v>
      </c>
      <c r="I61" s="4" t="s">
        <v>121</v>
      </c>
      <c r="J61">
        <v>4</v>
      </c>
      <c r="K61">
        <v>4</v>
      </c>
      <c r="L61">
        <v>20</v>
      </c>
    </row>
    <row r="62" spans="1:25" x14ac:dyDescent="0.25">
      <c r="A62" t="s">
        <v>27</v>
      </c>
      <c r="B62" t="s">
        <v>84</v>
      </c>
      <c r="C62">
        <v>2</v>
      </c>
      <c r="D62">
        <v>85.1</v>
      </c>
      <c r="E62">
        <v>63.5</v>
      </c>
      <c r="F62">
        <f t="shared" si="6"/>
        <v>5403.8499999999995</v>
      </c>
      <c r="G62">
        <v>5</v>
      </c>
      <c r="H62" s="2">
        <v>14</v>
      </c>
      <c r="I62" s="5" t="s">
        <v>120</v>
      </c>
      <c r="J62">
        <v>0.67200000000000004</v>
      </c>
      <c r="K62">
        <v>0.67200000000000004</v>
      </c>
      <c r="L62">
        <v>0.5</v>
      </c>
      <c r="N62" s="6"/>
      <c r="O62" s="6"/>
      <c r="P62" s="6"/>
    </row>
    <row r="63" spans="1:25" x14ac:dyDescent="0.25">
      <c r="A63" t="s">
        <v>30</v>
      </c>
      <c r="B63" t="s">
        <v>85</v>
      </c>
      <c r="C63">
        <v>2</v>
      </c>
      <c r="D63">
        <v>11.6</v>
      </c>
      <c r="E63">
        <v>13.5</v>
      </c>
      <c r="F63">
        <f t="shared" si="6"/>
        <v>156.6</v>
      </c>
      <c r="G63">
        <v>3.6</v>
      </c>
      <c r="J63">
        <v>1.5</v>
      </c>
      <c r="K63">
        <v>1.5</v>
      </c>
      <c r="L63">
        <v>8.2799999999999999E-2</v>
      </c>
    </row>
    <row r="64" spans="1:25" x14ac:dyDescent="0.25">
      <c r="A64" t="s">
        <v>54</v>
      </c>
      <c r="B64" t="s">
        <v>74</v>
      </c>
      <c r="C64">
        <v>2</v>
      </c>
      <c r="D64">
        <v>7</v>
      </c>
      <c r="E64">
        <v>7</v>
      </c>
      <c r="F64">
        <f t="shared" si="6"/>
        <v>49</v>
      </c>
      <c r="G64">
        <v>3.8</v>
      </c>
      <c r="H64" s="2">
        <v>32</v>
      </c>
      <c r="I64">
        <v>78</v>
      </c>
      <c r="J64" s="2">
        <v>2496</v>
      </c>
      <c r="K64" s="2" t="s">
        <v>122</v>
      </c>
      <c r="L64">
        <v>2.2419999999999999E-2</v>
      </c>
    </row>
    <row r="65" spans="1:12" x14ac:dyDescent="0.25">
      <c r="A65" t="s">
        <v>55</v>
      </c>
      <c r="B65" t="s">
        <v>86</v>
      </c>
      <c r="C65">
        <v>2</v>
      </c>
      <c r="D65">
        <v>7</v>
      </c>
      <c r="E65">
        <v>7</v>
      </c>
      <c r="F65">
        <f t="shared" si="6"/>
        <v>49</v>
      </c>
      <c r="G65">
        <v>3.8</v>
      </c>
      <c r="H65" s="2">
        <v>32</v>
      </c>
      <c r="I65" s="2">
        <v>48</v>
      </c>
      <c r="J65" s="2">
        <v>1536</v>
      </c>
      <c r="K65" s="2" t="s">
        <v>123</v>
      </c>
      <c r="L65">
        <v>2.8799999999999999E-2</v>
      </c>
    </row>
    <row r="66" spans="1:12" x14ac:dyDescent="0.25">
      <c r="A66" t="s">
        <v>56</v>
      </c>
      <c r="B66" t="s">
        <v>86</v>
      </c>
      <c r="C66">
        <v>2</v>
      </c>
      <c r="D66">
        <v>7</v>
      </c>
      <c r="E66">
        <v>7</v>
      </c>
      <c r="F66">
        <f t="shared" si="6"/>
        <v>49</v>
      </c>
      <c r="G66">
        <v>3.8</v>
      </c>
      <c r="H66" s="2">
        <v>32</v>
      </c>
      <c r="I66" s="2">
        <v>48</v>
      </c>
      <c r="J66" s="2">
        <v>1536</v>
      </c>
      <c r="K66" s="2" t="s">
        <v>124</v>
      </c>
      <c r="L66">
        <v>3.27E-2</v>
      </c>
    </row>
    <row r="67" spans="1:12" x14ac:dyDescent="0.25">
      <c r="A67" t="s">
        <v>57</v>
      </c>
      <c r="B67" t="s">
        <v>86</v>
      </c>
      <c r="C67">
        <v>2</v>
      </c>
      <c r="D67">
        <v>16.899999999999999</v>
      </c>
      <c r="E67">
        <v>11</v>
      </c>
      <c r="F67">
        <f t="shared" si="6"/>
        <v>185.89999999999998</v>
      </c>
      <c r="G67">
        <v>3.8</v>
      </c>
      <c r="H67" s="2">
        <v>32</v>
      </c>
      <c r="I67" s="2">
        <v>48</v>
      </c>
      <c r="J67" s="2">
        <v>1536</v>
      </c>
      <c r="K67" s="2" t="s">
        <v>125</v>
      </c>
      <c r="L67">
        <v>2.8199999999999999E-2</v>
      </c>
    </row>
    <row r="68" spans="1:12" x14ac:dyDescent="0.25">
      <c r="A68" t="s">
        <v>58</v>
      </c>
      <c r="B68" t="s">
        <v>88</v>
      </c>
      <c r="C68">
        <v>2</v>
      </c>
      <c r="D68">
        <v>7.3</v>
      </c>
      <c r="E68">
        <v>7.3</v>
      </c>
      <c r="F68">
        <f t="shared" si="6"/>
        <v>53.29</v>
      </c>
      <c r="G68">
        <v>3.8</v>
      </c>
      <c r="H68" s="2">
        <v>32</v>
      </c>
      <c r="I68" s="2">
        <v>48</v>
      </c>
      <c r="J68" s="2">
        <v>1536</v>
      </c>
      <c r="K68" s="2" t="s">
        <v>126</v>
      </c>
      <c r="L68">
        <v>4.8239999999999998E-2</v>
      </c>
    </row>
    <row r="69" spans="1:12" x14ac:dyDescent="0.25">
      <c r="A69" t="s">
        <v>59</v>
      </c>
      <c r="B69" t="s">
        <v>88</v>
      </c>
      <c r="C69">
        <v>2</v>
      </c>
      <c r="D69">
        <v>5.3</v>
      </c>
      <c r="E69">
        <v>5.3</v>
      </c>
      <c r="F69">
        <f t="shared" si="6"/>
        <v>28.09</v>
      </c>
      <c r="G69">
        <v>3.8</v>
      </c>
      <c r="H69" s="2">
        <v>32</v>
      </c>
      <c r="I69" s="2">
        <v>48</v>
      </c>
      <c r="J69" s="2">
        <v>1536</v>
      </c>
      <c r="K69" s="2" t="s">
        <v>126</v>
      </c>
      <c r="L69">
        <v>4.8239999999999998E-2</v>
      </c>
    </row>
    <row r="70" spans="1:12" x14ac:dyDescent="0.25">
      <c r="A70" t="s">
        <v>60</v>
      </c>
      <c r="B70" t="s">
        <v>87</v>
      </c>
      <c r="C70">
        <v>2</v>
      </c>
      <c r="D70">
        <v>6</v>
      </c>
      <c r="E70">
        <v>6</v>
      </c>
      <c r="F70">
        <f t="shared" si="6"/>
        <v>36</v>
      </c>
      <c r="G70">
        <v>3.6</v>
      </c>
      <c r="H70" s="2">
        <v>32</v>
      </c>
      <c r="I70" s="2">
        <v>240</v>
      </c>
      <c r="J70">
        <v>7680</v>
      </c>
      <c r="K70" t="s">
        <v>127</v>
      </c>
      <c r="L70">
        <v>0.66</v>
      </c>
    </row>
    <row r="71" spans="1:12" x14ac:dyDescent="0.25">
      <c r="A71" t="s">
        <v>65</v>
      </c>
      <c r="B71" t="s">
        <v>85</v>
      </c>
      <c r="C71">
        <v>2</v>
      </c>
      <c r="D71">
        <v>27</v>
      </c>
      <c r="E71">
        <v>12.7</v>
      </c>
      <c r="F71">
        <f t="shared" si="6"/>
        <v>342.9</v>
      </c>
      <c r="G71">
        <v>3.6</v>
      </c>
      <c r="J71">
        <v>3</v>
      </c>
      <c r="K71">
        <v>3</v>
      </c>
      <c r="L71">
        <v>9.9000000000000005E-2</v>
      </c>
    </row>
    <row r="72" spans="1:12" x14ac:dyDescent="0.25">
      <c r="A72" t="s">
        <v>66</v>
      </c>
      <c r="B72" t="s">
        <v>85</v>
      </c>
      <c r="C72">
        <v>2</v>
      </c>
      <c r="D72">
        <v>25.8</v>
      </c>
      <c r="E72">
        <v>13.4</v>
      </c>
      <c r="F72">
        <f t="shared" si="6"/>
        <v>345.72</v>
      </c>
      <c r="G72">
        <v>3.6</v>
      </c>
      <c r="J72">
        <v>1.5</v>
      </c>
      <c r="K72">
        <v>1.5</v>
      </c>
      <c r="L72">
        <v>9.9000000000000005E-2</v>
      </c>
    </row>
    <row r="73" spans="1:12" x14ac:dyDescent="0.25">
      <c r="A73" t="s">
        <v>67</v>
      </c>
      <c r="B73" t="s">
        <v>85</v>
      </c>
      <c r="C73">
        <v>2</v>
      </c>
      <c r="D73">
        <v>5</v>
      </c>
      <c r="E73">
        <v>5</v>
      </c>
      <c r="F73">
        <f t="shared" si="6"/>
        <v>25</v>
      </c>
      <c r="G73">
        <v>3.6</v>
      </c>
      <c r="J73">
        <v>1</v>
      </c>
      <c r="K73">
        <v>1</v>
      </c>
      <c r="L73">
        <v>2.46E-2</v>
      </c>
    </row>
    <row r="74" spans="1:12" x14ac:dyDescent="0.25">
      <c r="A74" t="s">
        <v>68</v>
      </c>
      <c r="B74" t="s">
        <v>90</v>
      </c>
      <c r="C74">
        <v>2</v>
      </c>
      <c r="D74">
        <v>7</v>
      </c>
      <c r="E74">
        <v>7</v>
      </c>
      <c r="F74">
        <f t="shared" si="6"/>
        <v>49</v>
      </c>
      <c r="G74">
        <v>5.5</v>
      </c>
      <c r="H74" s="2">
        <v>32</v>
      </c>
      <c r="I74" s="2">
        <v>64</v>
      </c>
      <c r="J74">
        <v>2048</v>
      </c>
      <c r="K74" t="s">
        <v>128</v>
      </c>
      <c r="L74">
        <v>5.4100000000000002E-2</v>
      </c>
    </row>
    <row r="75" spans="1:12" x14ac:dyDescent="0.25">
      <c r="A75" t="s">
        <v>69</v>
      </c>
      <c r="B75" t="s">
        <v>85</v>
      </c>
      <c r="C75">
        <v>2</v>
      </c>
      <c r="D75">
        <v>38</v>
      </c>
      <c r="E75">
        <v>20</v>
      </c>
      <c r="F75">
        <f t="shared" si="6"/>
        <v>760</v>
      </c>
      <c r="G75">
        <v>3.3</v>
      </c>
      <c r="J75">
        <v>2</v>
      </c>
      <c r="K75">
        <v>2</v>
      </c>
      <c r="L75">
        <v>9.9000000000000005E-2</v>
      </c>
    </row>
    <row r="76" spans="1:12" x14ac:dyDescent="0.25">
      <c r="A76" t="s">
        <v>70</v>
      </c>
      <c r="B76" t="s">
        <v>89</v>
      </c>
      <c r="C76">
        <v>2</v>
      </c>
      <c r="D76">
        <v>3.8</v>
      </c>
      <c r="E76">
        <v>3.8</v>
      </c>
      <c r="F76">
        <f t="shared" ref="F76" si="7">D76*E76</f>
        <v>14.44</v>
      </c>
      <c r="G76">
        <v>3.6</v>
      </c>
      <c r="H76" s="2">
        <v>32</v>
      </c>
      <c r="I76" s="2">
        <v>16</v>
      </c>
      <c r="J76">
        <v>512</v>
      </c>
      <c r="K76" t="s">
        <v>129</v>
      </c>
      <c r="L76">
        <v>2.8799999999999999E-2</v>
      </c>
    </row>
  </sheetData>
  <sortState xmlns:xlrd2="http://schemas.microsoft.com/office/spreadsheetml/2017/richdata2" ref="A2:G76">
    <sortCondition ref="B2:B76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Alizadehziri, Fatemeh</dc:creator>
  <cp:lastModifiedBy>Alizadehziri, Fatemeh</cp:lastModifiedBy>
  <dcterms:created xsi:type="dcterms:W3CDTF">2025-04-03T19:14:05Z</dcterms:created>
  <dcterms:modified xsi:type="dcterms:W3CDTF">2025-11-04T22:06:26Z</dcterms:modified>
</cp:coreProperties>
</file>